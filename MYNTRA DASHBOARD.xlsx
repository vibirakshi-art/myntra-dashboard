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3A6ED6AD-7830-4EF6-BE8C-F87419315526}" xr6:coauthVersionLast="47" xr6:coauthVersionMax="47" xr10:uidLastSave="{00000000-0000-0000-0000-000000000000}"/>
  <bookViews>
    <workbookView xWindow="-108" yWindow="-108" windowWidth="23256" windowHeight="12576" activeTab="2" xr2:uid="{20FA9786-33A6-4C19-9C49-275AC396D88B}"/>
  </bookViews>
  <sheets>
    <sheet name="myntra_dataset_ByScraping (1)" sheetId="1" r:id="rId1"/>
    <sheet name="Sheet1" sheetId="2" r:id="rId2"/>
    <sheet name="Sheet2" sheetId="3" r:id="rId3"/>
  </sheets>
  <definedNames>
    <definedName name="Slicer_brand_name">#N/A</definedName>
    <definedName name="Slicer_price">#N/A</definedName>
  </definedNames>
  <calcPr calcId="0"/>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5" i="1" l="1"/>
  <c r="J13" i="1"/>
  <c r="J11" i="1"/>
  <c r="J9" i="1"/>
  <c r="J7" i="1"/>
</calcChain>
</file>

<file path=xl/sharedStrings.xml><?xml version="1.0" encoding="utf-8"?>
<sst xmlns="http://schemas.openxmlformats.org/spreadsheetml/2006/main" count="232" uniqueCount="63">
  <si>
    <t>brand_name</t>
  </si>
  <si>
    <t>pants_description</t>
  </si>
  <si>
    <t>price</t>
  </si>
  <si>
    <t>MRP</t>
  </si>
  <si>
    <t>discount_percent</t>
  </si>
  <si>
    <t>ratings</t>
  </si>
  <si>
    <t>number_of_ratings</t>
  </si>
  <si>
    <t>WROGN</t>
  </si>
  <si>
    <t>Men Loose Fit Cotton Jeans</t>
  </si>
  <si>
    <t>Flying Machine</t>
  </si>
  <si>
    <t>Men Slim Fit Jeans</t>
  </si>
  <si>
    <t>Roadster</t>
  </si>
  <si>
    <t>Men Pure Cotton Jeans</t>
  </si>
  <si>
    <t>Bene Kleed</t>
  </si>
  <si>
    <t>Relaxed Fit Denim Jeans</t>
  </si>
  <si>
    <t>Levis</t>
  </si>
  <si>
    <t>Men 511 Slim Fit Jeans</t>
  </si>
  <si>
    <t>HERE&amp;NOW</t>
  </si>
  <si>
    <t>Men Stretchable Jeans</t>
  </si>
  <si>
    <t>Urbano Fashion</t>
  </si>
  <si>
    <t>Men Relaxed Fit Jeans</t>
  </si>
  <si>
    <t>Men Anti Fit Jeans</t>
  </si>
  <si>
    <t>Men Wide Leg Heavy Fade Jeans</t>
  </si>
  <si>
    <t>Men Regular Fit Mid-Rise Jeans</t>
  </si>
  <si>
    <t>Men Bootcut Jeans</t>
  </si>
  <si>
    <t>Men Wide Leg Jeans</t>
  </si>
  <si>
    <t>Slim Fit Stretchable Jeans</t>
  </si>
  <si>
    <t>styzon</t>
  </si>
  <si>
    <t>Men Jogger Mid-Rise Jeans</t>
  </si>
  <si>
    <t>Cotton Ecru Straight Fit Jeans</t>
  </si>
  <si>
    <t>Calvin Klein Jeans</t>
  </si>
  <si>
    <t>Men Slim Fit Stretchable Jeans</t>
  </si>
  <si>
    <t>HIGHLANDER</t>
  </si>
  <si>
    <t>Men Relaxed Fit Mid-Rise Jeans</t>
  </si>
  <si>
    <t>Men Mid-Rise Boot Cut Jeans</t>
  </si>
  <si>
    <t>Men Pure Cotton Loose Jeans</t>
  </si>
  <si>
    <t>Kotty</t>
  </si>
  <si>
    <t>Men Low-Rise Jeans</t>
  </si>
  <si>
    <t>Men Straight Fit Jeans</t>
  </si>
  <si>
    <t>Mast &amp; Harbour</t>
  </si>
  <si>
    <t>Men Low-Rise Cargo  Jeans</t>
  </si>
  <si>
    <t>Mufti</t>
  </si>
  <si>
    <t>Men Mid-Rise Skinny Fit Jeans</t>
  </si>
  <si>
    <t>FUGAZEE</t>
  </si>
  <si>
    <t>The Indian Garage Co</t>
  </si>
  <si>
    <t>Men Slim Fit Mid-Rise Jeans</t>
  </si>
  <si>
    <t>Men Black Faded Casual Jeans</t>
  </si>
  <si>
    <t>French Connection</t>
  </si>
  <si>
    <t>Men Slim Tapered Fit Jeans</t>
  </si>
  <si>
    <t>Men Pure Cotton Skater Jeans</t>
  </si>
  <si>
    <t>Men Super Skinny Fit Jeans</t>
  </si>
  <si>
    <t>glitchez</t>
  </si>
  <si>
    <t>Sum of price</t>
  </si>
  <si>
    <t>Row Labels</t>
  </si>
  <si>
    <t>Grand Total</t>
  </si>
  <si>
    <t>Sum of discount_percent</t>
  </si>
  <si>
    <t>Sum of ratings</t>
  </si>
  <si>
    <t>Sum of MRP</t>
  </si>
  <si>
    <t>TOTAL PRICE</t>
  </si>
  <si>
    <t>TOTAL MRP</t>
  </si>
  <si>
    <t>DISCOUNT</t>
  </si>
  <si>
    <t>RATINGS</t>
  </si>
  <si>
    <t>NO OF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</si>
</sst>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DASHBOARD.xlsx]Sheet1!PivotTable5</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Sheet1!$N$1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Sheet1!$M$2:$M$30</c:f>
              <c:strCache>
                <c:ptCount val="28"/>
                <c:pt idx="0">
                  <c:v>Cotton Ecru Straight Fit Jeans</c:v>
                </c:pt>
                <c:pt idx="1">
                  <c:v>Men 511 Slim Fit Jeans</c:v>
                </c:pt>
                <c:pt idx="2">
                  <c:v>Men Anti Fit Jeans</c:v>
                </c:pt>
                <c:pt idx="3">
                  <c:v>Men Black Faded Casual Jeans</c:v>
                </c:pt>
                <c:pt idx="4">
                  <c:v>Men Bootcut Jeans</c:v>
                </c:pt>
                <c:pt idx="5">
                  <c:v>Men Jogger Mid-Rise Jeans</c:v>
                </c:pt>
                <c:pt idx="6">
                  <c:v>Men Loose Fit Cotton Jeans</c:v>
                </c:pt>
                <c:pt idx="7">
                  <c:v>Men Low-Rise Cargo  Jeans</c:v>
                </c:pt>
                <c:pt idx="8">
                  <c:v>Men Low-Rise Jeans</c:v>
                </c:pt>
                <c:pt idx="9">
                  <c:v>Men Mid-Rise Boot Cut Jeans</c:v>
                </c:pt>
                <c:pt idx="10">
                  <c:v>Men Mid-Rise Skinny Fit Jeans</c:v>
                </c:pt>
                <c:pt idx="11">
                  <c:v>Men Pure Cotton Jeans</c:v>
                </c:pt>
                <c:pt idx="12">
                  <c:v>Men Pure Cotton Loose Jeans</c:v>
                </c:pt>
                <c:pt idx="13">
                  <c:v>Men Pure Cotton Skater Jeans</c:v>
                </c:pt>
                <c:pt idx="14">
                  <c:v>Men Regular Fit Mid-Rise Jeans</c:v>
                </c:pt>
                <c:pt idx="15">
                  <c:v>Men Relaxed Fit Jeans</c:v>
                </c:pt>
                <c:pt idx="16">
                  <c:v>Men Relaxed Fit Mid-Rise Jeans</c:v>
                </c:pt>
                <c:pt idx="17">
                  <c:v>Men Slim Fit Jeans</c:v>
                </c:pt>
                <c:pt idx="18">
                  <c:v>Men Slim Fit Mid-Rise Jeans</c:v>
                </c:pt>
                <c:pt idx="19">
                  <c:v>Men Slim Fit Stretchable Jeans</c:v>
                </c:pt>
                <c:pt idx="20">
                  <c:v>Men Slim Tapered Fit Jeans</c:v>
                </c:pt>
                <c:pt idx="21">
                  <c:v>Men Straight Fit Jeans</c:v>
                </c:pt>
                <c:pt idx="22">
                  <c:v>Men Stretchable Jeans</c:v>
                </c:pt>
                <c:pt idx="23">
                  <c:v>Men Super Skinny Fit Jeans</c:v>
                </c:pt>
                <c:pt idx="24">
                  <c:v>Men Wide Leg Heavy Fade Jeans</c:v>
                </c:pt>
                <c:pt idx="25">
                  <c:v>Men Wide Leg Jeans</c:v>
                </c:pt>
                <c:pt idx="26">
                  <c:v>Relaxed Fit Denim Jeans</c:v>
                </c:pt>
                <c:pt idx="27">
                  <c:v>Slim Fit Stretchable Jeans</c:v>
                </c:pt>
              </c:strCache>
            </c:strRef>
          </c:cat>
          <c:val>
            <c:numRef>
              <c:f>Sheet1!$N$2:$N$30</c:f>
              <c:numCache>
                <c:formatCode>General</c:formatCode>
                <c:ptCount val="28"/>
                <c:pt idx="0">
                  <c:v>0.62</c:v>
                </c:pt>
                <c:pt idx="1">
                  <c:v>0.97</c:v>
                </c:pt>
                <c:pt idx="2">
                  <c:v>0.91999999999999993</c:v>
                </c:pt>
                <c:pt idx="3">
                  <c:v>0.69</c:v>
                </c:pt>
                <c:pt idx="4">
                  <c:v>22.55</c:v>
                </c:pt>
                <c:pt idx="5">
                  <c:v>0.75</c:v>
                </c:pt>
                <c:pt idx="6">
                  <c:v>0.45</c:v>
                </c:pt>
                <c:pt idx="7">
                  <c:v>0.68</c:v>
                </c:pt>
                <c:pt idx="8">
                  <c:v>0.74</c:v>
                </c:pt>
                <c:pt idx="9">
                  <c:v>0.62</c:v>
                </c:pt>
                <c:pt idx="10">
                  <c:v>0.59</c:v>
                </c:pt>
                <c:pt idx="11">
                  <c:v>0.61</c:v>
                </c:pt>
                <c:pt idx="12">
                  <c:v>0.42</c:v>
                </c:pt>
                <c:pt idx="13">
                  <c:v>0.73</c:v>
                </c:pt>
                <c:pt idx="14">
                  <c:v>0.6</c:v>
                </c:pt>
                <c:pt idx="15">
                  <c:v>3.58</c:v>
                </c:pt>
                <c:pt idx="16">
                  <c:v>0.72</c:v>
                </c:pt>
                <c:pt idx="17">
                  <c:v>3.89</c:v>
                </c:pt>
                <c:pt idx="18">
                  <c:v>0.67</c:v>
                </c:pt>
                <c:pt idx="19">
                  <c:v>0.42</c:v>
                </c:pt>
                <c:pt idx="20">
                  <c:v>0.73</c:v>
                </c:pt>
                <c:pt idx="21">
                  <c:v>1.6199999999999999</c:v>
                </c:pt>
                <c:pt idx="22">
                  <c:v>1.2000000000000002</c:v>
                </c:pt>
                <c:pt idx="23">
                  <c:v>0.59</c:v>
                </c:pt>
                <c:pt idx="24">
                  <c:v>0.7</c:v>
                </c:pt>
                <c:pt idx="25">
                  <c:v>1.27</c:v>
                </c:pt>
                <c:pt idx="26">
                  <c:v>1.24</c:v>
                </c:pt>
                <c:pt idx="27">
                  <c:v>0.39</c:v>
                </c:pt>
              </c:numCache>
            </c:numRef>
          </c:val>
          <c:smooth val="0"/>
          <c:extLst>
            <c:ext xmlns:c16="http://schemas.microsoft.com/office/drawing/2014/chart" uri="{C3380CC4-5D6E-409C-BE32-E72D297353CC}">
              <c16:uniqueId val="{00000000-99FA-407A-BF99-0F12BB56D6AE}"/>
            </c:ext>
          </c:extLst>
        </c:ser>
        <c:dLbls>
          <c:showLegendKey val="0"/>
          <c:showVal val="0"/>
          <c:showCatName val="0"/>
          <c:showSerName val="0"/>
          <c:showPercent val="0"/>
          <c:showBubbleSize val="0"/>
        </c:dLbls>
        <c:axId val="577383880"/>
        <c:axId val="382018184"/>
        <c:axId val="613110656"/>
      </c:line3DChart>
      <c:catAx>
        <c:axId val="57738388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18184"/>
        <c:crosses val="autoZero"/>
        <c:auto val="1"/>
        <c:lblAlgn val="ctr"/>
        <c:lblOffset val="100"/>
        <c:noMultiLvlLbl val="0"/>
      </c:catAx>
      <c:valAx>
        <c:axId val="3820181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383880"/>
        <c:crosses val="autoZero"/>
        <c:crossBetween val="between"/>
      </c:valAx>
      <c:serAx>
        <c:axId val="61311065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181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DASHBOARD.xlsx]Sheet1!PivotTable4</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Sheet1!$K$1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Sheet1!$J$2:$J$19</c:f>
              <c:strCache>
                <c:ptCount val="17"/>
                <c:pt idx="0">
                  <c:v>Bene Kleed</c:v>
                </c:pt>
                <c:pt idx="1">
                  <c:v>Calvin Klein Jeans</c:v>
                </c:pt>
                <c:pt idx="2">
                  <c:v>Flying Machine</c:v>
                </c:pt>
                <c:pt idx="3">
                  <c:v>French Connection</c:v>
                </c:pt>
                <c:pt idx="4">
                  <c:v>FUGAZEE</c:v>
                </c:pt>
                <c:pt idx="5">
                  <c:v>glitchez</c:v>
                </c:pt>
                <c:pt idx="6">
                  <c:v>HERE&amp;NOW</c:v>
                </c:pt>
                <c:pt idx="7">
                  <c:v>HIGHLANDER</c:v>
                </c:pt>
                <c:pt idx="8">
                  <c:v>Kotty</c:v>
                </c:pt>
                <c:pt idx="9">
                  <c:v>Levis</c:v>
                </c:pt>
                <c:pt idx="10">
                  <c:v>Mast &amp; Harbour</c:v>
                </c:pt>
                <c:pt idx="11">
                  <c:v>Mufti</c:v>
                </c:pt>
                <c:pt idx="12">
                  <c:v>Roadster</c:v>
                </c:pt>
                <c:pt idx="13">
                  <c:v>styzon</c:v>
                </c:pt>
                <c:pt idx="14">
                  <c:v>The Indian Garage Co</c:v>
                </c:pt>
                <c:pt idx="15">
                  <c:v>Urbano Fashion</c:v>
                </c:pt>
                <c:pt idx="16">
                  <c:v>WROGN</c:v>
                </c:pt>
              </c:strCache>
            </c:strRef>
          </c:cat>
          <c:val>
            <c:numRef>
              <c:f>Sheet1!$K$2:$K$19</c:f>
              <c:numCache>
                <c:formatCode>General</c:formatCode>
                <c:ptCount val="17"/>
                <c:pt idx="0">
                  <c:v>19192</c:v>
                </c:pt>
                <c:pt idx="1">
                  <c:v>2499</c:v>
                </c:pt>
                <c:pt idx="2">
                  <c:v>11996</c:v>
                </c:pt>
                <c:pt idx="3">
                  <c:v>3499</c:v>
                </c:pt>
                <c:pt idx="4">
                  <c:v>3499</c:v>
                </c:pt>
                <c:pt idx="5">
                  <c:v>1399</c:v>
                </c:pt>
                <c:pt idx="6">
                  <c:v>1699</c:v>
                </c:pt>
                <c:pt idx="7">
                  <c:v>2749</c:v>
                </c:pt>
                <c:pt idx="8">
                  <c:v>5997</c:v>
                </c:pt>
                <c:pt idx="9">
                  <c:v>6898</c:v>
                </c:pt>
                <c:pt idx="10">
                  <c:v>9596</c:v>
                </c:pt>
                <c:pt idx="11">
                  <c:v>10997</c:v>
                </c:pt>
                <c:pt idx="12">
                  <c:v>14094</c:v>
                </c:pt>
                <c:pt idx="13">
                  <c:v>5398</c:v>
                </c:pt>
                <c:pt idx="14">
                  <c:v>6997</c:v>
                </c:pt>
                <c:pt idx="15">
                  <c:v>5797</c:v>
                </c:pt>
                <c:pt idx="16">
                  <c:v>12795</c:v>
                </c:pt>
              </c:numCache>
            </c:numRef>
          </c:val>
          <c:extLst>
            <c:ext xmlns:c16="http://schemas.microsoft.com/office/drawing/2014/chart" uri="{C3380CC4-5D6E-409C-BE32-E72D297353CC}">
              <c16:uniqueId val="{00000000-E0A5-4CB1-83E1-6D1F92C5D23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DASHBOARD.xlsx]Sheet1!PivotTable3</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Sheet1!$G$2:$G$30</c:f>
              <c:strCache>
                <c:ptCount val="28"/>
                <c:pt idx="0">
                  <c:v>Cotton Ecru Straight Fit Jeans</c:v>
                </c:pt>
                <c:pt idx="1">
                  <c:v>Men 511 Slim Fit Jeans</c:v>
                </c:pt>
                <c:pt idx="2">
                  <c:v>Men Anti Fit Jeans</c:v>
                </c:pt>
                <c:pt idx="3">
                  <c:v>Men Black Faded Casual Jeans</c:v>
                </c:pt>
                <c:pt idx="4">
                  <c:v>Men Bootcut Jeans</c:v>
                </c:pt>
                <c:pt idx="5">
                  <c:v>Men Jogger Mid-Rise Jeans</c:v>
                </c:pt>
                <c:pt idx="6">
                  <c:v>Men Loose Fit Cotton Jeans</c:v>
                </c:pt>
                <c:pt idx="7">
                  <c:v>Men Low-Rise Cargo  Jeans</c:v>
                </c:pt>
                <c:pt idx="8">
                  <c:v>Men Low-Rise Jeans</c:v>
                </c:pt>
                <c:pt idx="9">
                  <c:v>Men Mid-Rise Boot Cut Jeans</c:v>
                </c:pt>
                <c:pt idx="10">
                  <c:v>Men Mid-Rise Skinny Fit Jeans</c:v>
                </c:pt>
                <c:pt idx="11">
                  <c:v>Men Pure Cotton Jeans</c:v>
                </c:pt>
                <c:pt idx="12">
                  <c:v>Men Pure Cotton Loose Jeans</c:v>
                </c:pt>
                <c:pt idx="13">
                  <c:v>Men Pure Cotton Skater Jeans</c:v>
                </c:pt>
                <c:pt idx="14">
                  <c:v>Men Regular Fit Mid-Rise Jeans</c:v>
                </c:pt>
                <c:pt idx="15">
                  <c:v>Men Relaxed Fit Jeans</c:v>
                </c:pt>
                <c:pt idx="16">
                  <c:v>Men Relaxed Fit Mid-Rise Jeans</c:v>
                </c:pt>
                <c:pt idx="17">
                  <c:v>Men Slim Fit Jeans</c:v>
                </c:pt>
                <c:pt idx="18">
                  <c:v>Men Slim Fit Mid-Rise Jeans</c:v>
                </c:pt>
                <c:pt idx="19">
                  <c:v>Men Slim Fit Stretchable Jeans</c:v>
                </c:pt>
                <c:pt idx="20">
                  <c:v>Men Slim Tapered Fit Jeans</c:v>
                </c:pt>
                <c:pt idx="21">
                  <c:v>Men Straight Fit Jeans</c:v>
                </c:pt>
                <c:pt idx="22">
                  <c:v>Men Stretchable Jeans</c:v>
                </c:pt>
                <c:pt idx="23">
                  <c:v>Men Super Skinny Fit Jeans</c:v>
                </c:pt>
                <c:pt idx="24">
                  <c:v>Men Wide Leg Heavy Fade Jeans</c:v>
                </c:pt>
                <c:pt idx="25">
                  <c:v>Men Wide Leg Jeans</c:v>
                </c:pt>
                <c:pt idx="26">
                  <c:v>Relaxed Fit Denim Jeans</c:v>
                </c:pt>
                <c:pt idx="27">
                  <c:v>Slim Fit Stretchable Jeans</c:v>
                </c:pt>
              </c:strCache>
            </c:strRef>
          </c:cat>
          <c:val>
            <c:numRef>
              <c:f>Sheet1!$H$2:$H$30</c:f>
              <c:numCache>
                <c:formatCode>General</c:formatCode>
                <c:ptCount val="28"/>
                <c:pt idx="0">
                  <c:v>3.8</c:v>
                </c:pt>
                <c:pt idx="1">
                  <c:v>8.1999999999999993</c:v>
                </c:pt>
                <c:pt idx="2">
                  <c:v>8.3000000000000007</c:v>
                </c:pt>
                <c:pt idx="3">
                  <c:v>3.5</c:v>
                </c:pt>
                <c:pt idx="4">
                  <c:v>12</c:v>
                </c:pt>
                <c:pt idx="5">
                  <c:v>4.0999999999999996</c:v>
                </c:pt>
                <c:pt idx="6">
                  <c:v>4.2</c:v>
                </c:pt>
                <c:pt idx="7">
                  <c:v>4.2</c:v>
                </c:pt>
                <c:pt idx="8">
                  <c:v>3.7</c:v>
                </c:pt>
                <c:pt idx="9">
                  <c:v>4</c:v>
                </c:pt>
                <c:pt idx="10">
                  <c:v>3.8</c:v>
                </c:pt>
                <c:pt idx="11">
                  <c:v>3.6</c:v>
                </c:pt>
                <c:pt idx="12">
                  <c:v>3.9</c:v>
                </c:pt>
                <c:pt idx="13">
                  <c:v>3.7</c:v>
                </c:pt>
                <c:pt idx="14">
                  <c:v>4</c:v>
                </c:pt>
                <c:pt idx="15">
                  <c:v>26.8</c:v>
                </c:pt>
                <c:pt idx="16">
                  <c:v>3.6</c:v>
                </c:pt>
                <c:pt idx="17">
                  <c:v>28.5</c:v>
                </c:pt>
                <c:pt idx="18">
                  <c:v>4</c:v>
                </c:pt>
                <c:pt idx="19">
                  <c:v>4.2</c:v>
                </c:pt>
                <c:pt idx="20">
                  <c:v>3.8</c:v>
                </c:pt>
                <c:pt idx="21">
                  <c:v>11.3</c:v>
                </c:pt>
                <c:pt idx="22">
                  <c:v>7.4</c:v>
                </c:pt>
                <c:pt idx="23">
                  <c:v>3.7</c:v>
                </c:pt>
                <c:pt idx="24">
                  <c:v>3.6</c:v>
                </c:pt>
                <c:pt idx="25">
                  <c:v>7</c:v>
                </c:pt>
                <c:pt idx="26">
                  <c:v>8.1</c:v>
                </c:pt>
                <c:pt idx="27">
                  <c:v>3.6</c:v>
                </c:pt>
              </c:numCache>
            </c:numRef>
          </c:val>
          <c:extLst>
            <c:ext xmlns:c16="http://schemas.microsoft.com/office/drawing/2014/chart" uri="{C3380CC4-5D6E-409C-BE32-E72D297353CC}">
              <c16:uniqueId val="{00000000-88A3-4ECF-BF48-56C3FBC251DC}"/>
            </c:ext>
          </c:extLst>
        </c:ser>
        <c:dLbls>
          <c:showLegendKey val="0"/>
          <c:showVal val="0"/>
          <c:showCatName val="0"/>
          <c:showSerName val="0"/>
          <c:showPercent val="0"/>
          <c:showBubbleSize val="0"/>
        </c:dLbls>
        <c:gapWidth val="150"/>
        <c:shape val="box"/>
        <c:axId val="685265072"/>
        <c:axId val="685265432"/>
        <c:axId val="0"/>
      </c:bar3DChart>
      <c:catAx>
        <c:axId val="685265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265432"/>
        <c:crosses val="autoZero"/>
        <c:auto val="1"/>
        <c:lblAlgn val="ctr"/>
        <c:lblOffset val="100"/>
        <c:noMultiLvlLbl val="0"/>
      </c:catAx>
      <c:valAx>
        <c:axId val="685265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26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DASHBOARD.xlsx]Sheet1!PivotTable2</c:name>
    <c:fmtId val="10"/>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Sheet1!$D$2:$D$19</c:f>
              <c:strCache>
                <c:ptCount val="17"/>
                <c:pt idx="0">
                  <c:v>Bene Kleed</c:v>
                </c:pt>
                <c:pt idx="1">
                  <c:v>Calvin Klein Jeans</c:v>
                </c:pt>
                <c:pt idx="2">
                  <c:v>Flying Machine</c:v>
                </c:pt>
                <c:pt idx="3">
                  <c:v>French Connection</c:v>
                </c:pt>
                <c:pt idx="4">
                  <c:v>FUGAZEE</c:v>
                </c:pt>
                <c:pt idx="5">
                  <c:v>glitchez</c:v>
                </c:pt>
                <c:pt idx="6">
                  <c:v>HERE&amp;NOW</c:v>
                </c:pt>
                <c:pt idx="7">
                  <c:v>HIGHLANDER</c:v>
                </c:pt>
                <c:pt idx="8">
                  <c:v>Kotty</c:v>
                </c:pt>
                <c:pt idx="9">
                  <c:v>Levis</c:v>
                </c:pt>
                <c:pt idx="10">
                  <c:v>Mast &amp; Harbour</c:v>
                </c:pt>
                <c:pt idx="11">
                  <c:v>Mufti</c:v>
                </c:pt>
                <c:pt idx="12">
                  <c:v>Roadster</c:v>
                </c:pt>
                <c:pt idx="13">
                  <c:v>styzon</c:v>
                </c:pt>
                <c:pt idx="14">
                  <c:v>The Indian Garage Co</c:v>
                </c:pt>
                <c:pt idx="15">
                  <c:v>Urbano Fashion</c:v>
                </c:pt>
                <c:pt idx="16">
                  <c:v>WROGN</c:v>
                </c:pt>
              </c:strCache>
            </c:strRef>
          </c:cat>
          <c:val>
            <c:numRef>
              <c:f>Sheet1!$E$2:$E$19</c:f>
              <c:numCache>
                <c:formatCode>General</c:formatCode>
                <c:ptCount val="17"/>
                <c:pt idx="0">
                  <c:v>5.0999999999999996</c:v>
                </c:pt>
                <c:pt idx="1">
                  <c:v>0.62</c:v>
                </c:pt>
                <c:pt idx="2">
                  <c:v>1.5</c:v>
                </c:pt>
                <c:pt idx="3">
                  <c:v>0.63</c:v>
                </c:pt>
                <c:pt idx="4">
                  <c:v>0.4</c:v>
                </c:pt>
                <c:pt idx="5">
                  <c:v>0.43</c:v>
                </c:pt>
                <c:pt idx="6">
                  <c:v>0.53</c:v>
                </c:pt>
                <c:pt idx="7">
                  <c:v>0.72</c:v>
                </c:pt>
                <c:pt idx="8">
                  <c:v>2.06</c:v>
                </c:pt>
                <c:pt idx="9">
                  <c:v>0.97</c:v>
                </c:pt>
                <c:pt idx="10">
                  <c:v>23.250000000000004</c:v>
                </c:pt>
                <c:pt idx="11">
                  <c:v>1.81</c:v>
                </c:pt>
                <c:pt idx="12">
                  <c:v>3.81</c:v>
                </c:pt>
                <c:pt idx="13">
                  <c:v>1.2</c:v>
                </c:pt>
                <c:pt idx="14">
                  <c:v>2.0699999999999998</c:v>
                </c:pt>
                <c:pt idx="15">
                  <c:v>1.6500000000000001</c:v>
                </c:pt>
                <c:pt idx="16">
                  <c:v>2.21</c:v>
                </c:pt>
              </c:numCache>
            </c:numRef>
          </c:val>
          <c:smooth val="0"/>
          <c:extLst>
            <c:ext xmlns:c16="http://schemas.microsoft.com/office/drawing/2014/chart" uri="{C3380CC4-5D6E-409C-BE32-E72D297353CC}">
              <c16:uniqueId val="{00000000-4BDD-43A4-8A5D-35EB96300D11}"/>
            </c:ext>
          </c:extLst>
        </c:ser>
        <c:dLbls>
          <c:showLegendKey val="0"/>
          <c:showVal val="0"/>
          <c:showCatName val="0"/>
          <c:showSerName val="0"/>
          <c:showPercent val="0"/>
          <c:showBubbleSize val="0"/>
        </c:dLbls>
        <c:marker val="1"/>
        <c:smooth val="0"/>
        <c:axId val="683512576"/>
        <c:axId val="683515096"/>
      </c:lineChart>
      <c:catAx>
        <c:axId val="683512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515096"/>
        <c:crosses val="autoZero"/>
        <c:auto val="1"/>
        <c:lblAlgn val="ctr"/>
        <c:lblOffset val="100"/>
        <c:noMultiLvlLbl val="0"/>
      </c:catAx>
      <c:valAx>
        <c:axId val="683515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51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DASHBOARD.xlsx]Sheet1!PivotTable1</c:name>
    <c:fmtId val="7"/>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Sheet1!$A$2:$A$19</c:f>
              <c:strCache>
                <c:ptCount val="17"/>
                <c:pt idx="0">
                  <c:v>Bene Kleed</c:v>
                </c:pt>
                <c:pt idx="1">
                  <c:v>Calvin Klein Jeans</c:v>
                </c:pt>
                <c:pt idx="2">
                  <c:v>Flying Machine</c:v>
                </c:pt>
                <c:pt idx="3">
                  <c:v>French Connection</c:v>
                </c:pt>
                <c:pt idx="4">
                  <c:v>FUGAZEE</c:v>
                </c:pt>
                <c:pt idx="5">
                  <c:v>glitchez</c:v>
                </c:pt>
                <c:pt idx="6">
                  <c:v>HERE&amp;NOW</c:v>
                </c:pt>
                <c:pt idx="7">
                  <c:v>HIGHLANDER</c:v>
                </c:pt>
                <c:pt idx="8">
                  <c:v>Kotty</c:v>
                </c:pt>
                <c:pt idx="9">
                  <c:v>Levis</c:v>
                </c:pt>
                <c:pt idx="10">
                  <c:v>Mast &amp; Harbour</c:v>
                </c:pt>
                <c:pt idx="11">
                  <c:v>Mufti</c:v>
                </c:pt>
                <c:pt idx="12">
                  <c:v>Roadster</c:v>
                </c:pt>
                <c:pt idx="13">
                  <c:v>styzon</c:v>
                </c:pt>
                <c:pt idx="14">
                  <c:v>The Indian Garage Co</c:v>
                </c:pt>
                <c:pt idx="15">
                  <c:v>Urbano Fashion</c:v>
                </c:pt>
                <c:pt idx="16">
                  <c:v>WROGN</c:v>
                </c:pt>
              </c:strCache>
            </c:strRef>
          </c:cat>
          <c:val>
            <c:numRef>
              <c:f>Sheet1!$B$2:$B$19</c:f>
              <c:numCache>
                <c:formatCode>General</c:formatCode>
                <c:ptCount val="17"/>
                <c:pt idx="0">
                  <c:v>6911</c:v>
                </c:pt>
                <c:pt idx="1">
                  <c:v>949</c:v>
                </c:pt>
                <c:pt idx="2">
                  <c:v>7516</c:v>
                </c:pt>
                <c:pt idx="3">
                  <c:v>1294</c:v>
                </c:pt>
                <c:pt idx="4">
                  <c:v>2099</c:v>
                </c:pt>
                <c:pt idx="5">
                  <c:v>797</c:v>
                </c:pt>
                <c:pt idx="6">
                  <c:v>798</c:v>
                </c:pt>
                <c:pt idx="7">
                  <c:v>769</c:v>
                </c:pt>
                <c:pt idx="8">
                  <c:v>1877</c:v>
                </c:pt>
                <c:pt idx="9">
                  <c:v>3557</c:v>
                </c:pt>
                <c:pt idx="10">
                  <c:v>3092</c:v>
                </c:pt>
                <c:pt idx="11">
                  <c:v>4339</c:v>
                </c:pt>
                <c:pt idx="12">
                  <c:v>5136</c:v>
                </c:pt>
                <c:pt idx="13">
                  <c:v>1888</c:v>
                </c:pt>
                <c:pt idx="14">
                  <c:v>2155</c:v>
                </c:pt>
                <c:pt idx="15">
                  <c:v>2607</c:v>
                </c:pt>
                <c:pt idx="16">
                  <c:v>7120</c:v>
                </c:pt>
              </c:numCache>
            </c:numRef>
          </c:val>
          <c:extLst>
            <c:ext xmlns:c16="http://schemas.microsoft.com/office/drawing/2014/chart" uri="{C3380CC4-5D6E-409C-BE32-E72D297353CC}">
              <c16:uniqueId val="{00000003-F8B7-4BFD-AA3F-89A2D179841C}"/>
            </c:ext>
          </c:extLst>
        </c:ser>
        <c:dLbls>
          <c:showLegendKey val="0"/>
          <c:showVal val="0"/>
          <c:showCatName val="0"/>
          <c:showSerName val="0"/>
          <c:showPercent val="0"/>
          <c:showBubbleSize val="0"/>
        </c:dLbls>
        <c:gapWidth val="84"/>
        <c:gapDepth val="53"/>
        <c:shape val="box"/>
        <c:axId val="704619760"/>
        <c:axId val="704624800"/>
        <c:axId val="0"/>
      </c:bar3DChart>
      <c:catAx>
        <c:axId val="70461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4624800"/>
        <c:crosses val="autoZero"/>
        <c:auto val="1"/>
        <c:lblAlgn val="ctr"/>
        <c:lblOffset val="100"/>
        <c:noMultiLvlLbl val="0"/>
      </c:catAx>
      <c:valAx>
        <c:axId val="704624800"/>
        <c:scaling>
          <c:orientation val="minMax"/>
        </c:scaling>
        <c:delete val="1"/>
        <c:axPos val="l"/>
        <c:numFmt formatCode="General" sourceLinked="1"/>
        <c:majorTickMark val="out"/>
        <c:minorTickMark val="none"/>
        <c:tickLblPos val="nextTo"/>
        <c:crossAx val="70461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DASHBOARD.xlsx]Sheet1!PivotTable1</c:name>
    <c:fmtId val="12"/>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Sheet1!$A$2:$A$19</c:f>
              <c:strCache>
                <c:ptCount val="17"/>
                <c:pt idx="0">
                  <c:v>Bene Kleed</c:v>
                </c:pt>
                <c:pt idx="1">
                  <c:v>Calvin Klein Jeans</c:v>
                </c:pt>
                <c:pt idx="2">
                  <c:v>Flying Machine</c:v>
                </c:pt>
                <c:pt idx="3">
                  <c:v>French Connection</c:v>
                </c:pt>
                <c:pt idx="4">
                  <c:v>FUGAZEE</c:v>
                </c:pt>
                <c:pt idx="5">
                  <c:v>glitchez</c:v>
                </c:pt>
                <c:pt idx="6">
                  <c:v>HERE&amp;NOW</c:v>
                </c:pt>
                <c:pt idx="7">
                  <c:v>HIGHLANDER</c:v>
                </c:pt>
                <c:pt idx="8">
                  <c:v>Kotty</c:v>
                </c:pt>
                <c:pt idx="9">
                  <c:v>Levis</c:v>
                </c:pt>
                <c:pt idx="10">
                  <c:v>Mast &amp; Harbour</c:v>
                </c:pt>
                <c:pt idx="11">
                  <c:v>Mufti</c:v>
                </c:pt>
                <c:pt idx="12">
                  <c:v>Roadster</c:v>
                </c:pt>
                <c:pt idx="13">
                  <c:v>styzon</c:v>
                </c:pt>
                <c:pt idx="14">
                  <c:v>The Indian Garage Co</c:v>
                </c:pt>
                <c:pt idx="15">
                  <c:v>Urbano Fashion</c:v>
                </c:pt>
                <c:pt idx="16">
                  <c:v>WROGN</c:v>
                </c:pt>
              </c:strCache>
            </c:strRef>
          </c:cat>
          <c:val>
            <c:numRef>
              <c:f>Sheet1!$B$2:$B$19</c:f>
              <c:numCache>
                <c:formatCode>General</c:formatCode>
                <c:ptCount val="17"/>
                <c:pt idx="0">
                  <c:v>6911</c:v>
                </c:pt>
                <c:pt idx="1">
                  <c:v>949</c:v>
                </c:pt>
                <c:pt idx="2">
                  <c:v>7516</c:v>
                </c:pt>
                <c:pt idx="3">
                  <c:v>1294</c:v>
                </c:pt>
                <c:pt idx="4">
                  <c:v>2099</c:v>
                </c:pt>
                <c:pt idx="5">
                  <c:v>797</c:v>
                </c:pt>
                <c:pt idx="6">
                  <c:v>798</c:v>
                </c:pt>
                <c:pt idx="7">
                  <c:v>769</c:v>
                </c:pt>
                <c:pt idx="8">
                  <c:v>1877</c:v>
                </c:pt>
                <c:pt idx="9">
                  <c:v>3557</c:v>
                </c:pt>
                <c:pt idx="10">
                  <c:v>3092</c:v>
                </c:pt>
                <c:pt idx="11">
                  <c:v>4339</c:v>
                </c:pt>
                <c:pt idx="12">
                  <c:v>5136</c:v>
                </c:pt>
                <c:pt idx="13">
                  <c:v>1888</c:v>
                </c:pt>
                <c:pt idx="14">
                  <c:v>2155</c:v>
                </c:pt>
                <c:pt idx="15">
                  <c:v>2607</c:v>
                </c:pt>
                <c:pt idx="16">
                  <c:v>7120</c:v>
                </c:pt>
              </c:numCache>
            </c:numRef>
          </c:val>
          <c:extLst>
            <c:ext xmlns:c16="http://schemas.microsoft.com/office/drawing/2014/chart" uri="{C3380CC4-5D6E-409C-BE32-E72D297353CC}">
              <c16:uniqueId val="{00000000-D8AC-4DC7-AA9C-7DD9E9C3F346}"/>
            </c:ext>
          </c:extLst>
        </c:ser>
        <c:dLbls>
          <c:showLegendKey val="0"/>
          <c:showVal val="0"/>
          <c:showCatName val="0"/>
          <c:showSerName val="0"/>
          <c:showPercent val="0"/>
          <c:showBubbleSize val="0"/>
        </c:dLbls>
        <c:gapWidth val="84"/>
        <c:gapDepth val="53"/>
        <c:shape val="box"/>
        <c:axId val="704619760"/>
        <c:axId val="704624800"/>
        <c:axId val="0"/>
      </c:bar3DChart>
      <c:catAx>
        <c:axId val="70461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4624800"/>
        <c:crosses val="autoZero"/>
        <c:auto val="1"/>
        <c:lblAlgn val="ctr"/>
        <c:lblOffset val="100"/>
        <c:noMultiLvlLbl val="0"/>
      </c:catAx>
      <c:valAx>
        <c:axId val="704624800"/>
        <c:scaling>
          <c:orientation val="minMax"/>
        </c:scaling>
        <c:delete val="1"/>
        <c:axPos val="l"/>
        <c:numFmt formatCode="General" sourceLinked="1"/>
        <c:majorTickMark val="out"/>
        <c:minorTickMark val="none"/>
        <c:tickLblPos val="nextTo"/>
        <c:crossAx val="70461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DASHBOARD.xlsx]Sheet1!PivotTable2</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Sheet1!$D$2:$D$19</c:f>
              <c:strCache>
                <c:ptCount val="17"/>
                <c:pt idx="0">
                  <c:v>Bene Kleed</c:v>
                </c:pt>
                <c:pt idx="1">
                  <c:v>Calvin Klein Jeans</c:v>
                </c:pt>
                <c:pt idx="2">
                  <c:v>Flying Machine</c:v>
                </c:pt>
                <c:pt idx="3">
                  <c:v>French Connection</c:v>
                </c:pt>
                <c:pt idx="4">
                  <c:v>FUGAZEE</c:v>
                </c:pt>
                <c:pt idx="5">
                  <c:v>glitchez</c:v>
                </c:pt>
                <c:pt idx="6">
                  <c:v>HERE&amp;NOW</c:v>
                </c:pt>
                <c:pt idx="7">
                  <c:v>HIGHLANDER</c:v>
                </c:pt>
                <c:pt idx="8">
                  <c:v>Kotty</c:v>
                </c:pt>
                <c:pt idx="9">
                  <c:v>Levis</c:v>
                </c:pt>
                <c:pt idx="10">
                  <c:v>Mast &amp; Harbour</c:v>
                </c:pt>
                <c:pt idx="11">
                  <c:v>Mufti</c:v>
                </c:pt>
                <c:pt idx="12">
                  <c:v>Roadster</c:v>
                </c:pt>
                <c:pt idx="13">
                  <c:v>styzon</c:v>
                </c:pt>
                <c:pt idx="14">
                  <c:v>The Indian Garage Co</c:v>
                </c:pt>
                <c:pt idx="15">
                  <c:v>Urbano Fashion</c:v>
                </c:pt>
                <c:pt idx="16">
                  <c:v>WROGN</c:v>
                </c:pt>
              </c:strCache>
            </c:strRef>
          </c:cat>
          <c:val>
            <c:numRef>
              <c:f>Sheet1!$E$2:$E$19</c:f>
              <c:numCache>
                <c:formatCode>General</c:formatCode>
                <c:ptCount val="17"/>
                <c:pt idx="0">
                  <c:v>5.0999999999999996</c:v>
                </c:pt>
                <c:pt idx="1">
                  <c:v>0.62</c:v>
                </c:pt>
                <c:pt idx="2">
                  <c:v>1.5</c:v>
                </c:pt>
                <c:pt idx="3">
                  <c:v>0.63</c:v>
                </c:pt>
                <c:pt idx="4">
                  <c:v>0.4</c:v>
                </c:pt>
                <c:pt idx="5">
                  <c:v>0.43</c:v>
                </c:pt>
                <c:pt idx="6">
                  <c:v>0.53</c:v>
                </c:pt>
                <c:pt idx="7">
                  <c:v>0.72</c:v>
                </c:pt>
                <c:pt idx="8">
                  <c:v>2.06</c:v>
                </c:pt>
                <c:pt idx="9">
                  <c:v>0.97</c:v>
                </c:pt>
                <c:pt idx="10">
                  <c:v>23.250000000000004</c:v>
                </c:pt>
                <c:pt idx="11">
                  <c:v>1.81</c:v>
                </c:pt>
                <c:pt idx="12">
                  <c:v>3.81</c:v>
                </c:pt>
                <c:pt idx="13">
                  <c:v>1.2</c:v>
                </c:pt>
                <c:pt idx="14">
                  <c:v>2.0699999999999998</c:v>
                </c:pt>
                <c:pt idx="15">
                  <c:v>1.6500000000000001</c:v>
                </c:pt>
                <c:pt idx="16">
                  <c:v>2.21</c:v>
                </c:pt>
              </c:numCache>
            </c:numRef>
          </c:val>
          <c:smooth val="0"/>
          <c:extLst>
            <c:ext xmlns:c16="http://schemas.microsoft.com/office/drawing/2014/chart" uri="{C3380CC4-5D6E-409C-BE32-E72D297353CC}">
              <c16:uniqueId val="{00000000-75D4-4C6A-859D-A0018186CE46}"/>
            </c:ext>
          </c:extLst>
        </c:ser>
        <c:dLbls>
          <c:showLegendKey val="0"/>
          <c:showVal val="0"/>
          <c:showCatName val="0"/>
          <c:showSerName val="0"/>
          <c:showPercent val="0"/>
          <c:showBubbleSize val="0"/>
        </c:dLbls>
        <c:marker val="1"/>
        <c:smooth val="0"/>
        <c:axId val="683512576"/>
        <c:axId val="683515096"/>
      </c:lineChart>
      <c:catAx>
        <c:axId val="683512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515096"/>
        <c:crosses val="autoZero"/>
        <c:auto val="1"/>
        <c:lblAlgn val="ctr"/>
        <c:lblOffset val="100"/>
        <c:noMultiLvlLbl val="0"/>
      </c:catAx>
      <c:valAx>
        <c:axId val="683515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51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DASHBOARD.xlsx]Sheet1!PivotTable3</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Sheet1!$G$2:$G$30</c:f>
              <c:strCache>
                <c:ptCount val="28"/>
                <c:pt idx="0">
                  <c:v>Cotton Ecru Straight Fit Jeans</c:v>
                </c:pt>
                <c:pt idx="1">
                  <c:v>Men 511 Slim Fit Jeans</c:v>
                </c:pt>
                <c:pt idx="2">
                  <c:v>Men Anti Fit Jeans</c:v>
                </c:pt>
                <c:pt idx="3">
                  <c:v>Men Black Faded Casual Jeans</c:v>
                </c:pt>
                <c:pt idx="4">
                  <c:v>Men Bootcut Jeans</c:v>
                </c:pt>
                <c:pt idx="5">
                  <c:v>Men Jogger Mid-Rise Jeans</c:v>
                </c:pt>
                <c:pt idx="6">
                  <c:v>Men Loose Fit Cotton Jeans</c:v>
                </c:pt>
                <c:pt idx="7">
                  <c:v>Men Low-Rise Cargo  Jeans</c:v>
                </c:pt>
                <c:pt idx="8">
                  <c:v>Men Low-Rise Jeans</c:v>
                </c:pt>
                <c:pt idx="9">
                  <c:v>Men Mid-Rise Boot Cut Jeans</c:v>
                </c:pt>
                <c:pt idx="10">
                  <c:v>Men Mid-Rise Skinny Fit Jeans</c:v>
                </c:pt>
                <c:pt idx="11">
                  <c:v>Men Pure Cotton Jeans</c:v>
                </c:pt>
                <c:pt idx="12">
                  <c:v>Men Pure Cotton Loose Jeans</c:v>
                </c:pt>
                <c:pt idx="13">
                  <c:v>Men Pure Cotton Skater Jeans</c:v>
                </c:pt>
                <c:pt idx="14">
                  <c:v>Men Regular Fit Mid-Rise Jeans</c:v>
                </c:pt>
                <c:pt idx="15">
                  <c:v>Men Relaxed Fit Jeans</c:v>
                </c:pt>
                <c:pt idx="16">
                  <c:v>Men Relaxed Fit Mid-Rise Jeans</c:v>
                </c:pt>
                <c:pt idx="17">
                  <c:v>Men Slim Fit Jeans</c:v>
                </c:pt>
                <c:pt idx="18">
                  <c:v>Men Slim Fit Mid-Rise Jeans</c:v>
                </c:pt>
                <c:pt idx="19">
                  <c:v>Men Slim Fit Stretchable Jeans</c:v>
                </c:pt>
                <c:pt idx="20">
                  <c:v>Men Slim Tapered Fit Jeans</c:v>
                </c:pt>
                <c:pt idx="21">
                  <c:v>Men Straight Fit Jeans</c:v>
                </c:pt>
                <c:pt idx="22">
                  <c:v>Men Stretchable Jeans</c:v>
                </c:pt>
                <c:pt idx="23">
                  <c:v>Men Super Skinny Fit Jeans</c:v>
                </c:pt>
                <c:pt idx="24">
                  <c:v>Men Wide Leg Heavy Fade Jeans</c:v>
                </c:pt>
                <c:pt idx="25">
                  <c:v>Men Wide Leg Jeans</c:v>
                </c:pt>
                <c:pt idx="26">
                  <c:v>Relaxed Fit Denim Jeans</c:v>
                </c:pt>
                <c:pt idx="27">
                  <c:v>Slim Fit Stretchable Jeans</c:v>
                </c:pt>
              </c:strCache>
            </c:strRef>
          </c:cat>
          <c:val>
            <c:numRef>
              <c:f>Sheet1!$H$2:$H$30</c:f>
              <c:numCache>
                <c:formatCode>General</c:formatCode>
                <c:ptCount val="28"/>
                <c:pt idx="0">
                  <c:v>3.8</c:v>
                </c:pt>
                <c:pt idx="1">
                  <c:v>8.1999999999999993</c:v>
                </c:pt>
                <c:pt idx="2">
                  <c:v>8.3000000000000007</c:v>
                </c:pt>
                <c:pt idx="3">
                  <c:v>3.5</c:v>
                </c:pt>
                <c:pt idx="4">
                  <c:v>12</c:v>
                </c:pt>
                <c:pt idx="5">
                  <c:v>4.0999999999999996</c:v>
                </c:pt>
                <c:pt idx="6">
                  <c:v>4.2</c:v>
                </c:pt>
                <c:pt idx="7">
                  <c:v>4.2</c:v>
                </c:pt>
                <c:pt idx="8">
                  <c:v>3.7</c:v>
                </c:pt>
                <c:pt idx="9">
                  <c:v>4</c:v>
                </c:pt>
                <c:pt idx="10">
                  <c:v>3.8</c:v>
                </c:pt>
                <c:pt idx="11">
                  <c:v>3.6</c:v>
                </c:pt>
                <c:pt idx="12">
                  <c:v>3.9</c:v>
                </c:pt>
                <c:pt idx="13">
                  <c:v>3.7</c:v>
                </c:pt>
                <c:pt idx="14">
                  <c:v>4</c:v>
                </c:pt>
                <c:pt idx="15">
                  <c:v>26.8</c:v>
                </c:pt>
                <c:pt idx="16">
                  <c:v>3.6</c:v>
                </c:pt>
                <c:pt idx="17">
                  <c:v>28.5</c:v>
                </c:pt>
                <c:pt idx="18">
                  <c:v>4</c:v>
                </c:pt>
                <c:pt idx="19">
                  <c:v>4.2</c:v>
                </c:pt>
                <c:pt idx="20">
                  <c:v>3.8</c:v>
                </c:pt>
                <c:pt idx="21">
                  <c:v>11.3</c:v>
                </c:pt>
                <c:pt idx="22">
                  <c:v>7.4</c:v>
                </c:pt>
                <c:pt idx="23">
                  <c:v>3.7</c:v>
                </c:pt>
                <c:pt idx="24">
                  <c:v>3.6</c:v>
                </c:pt>
                <c:pt idx="25">
                  <c:v>7</c:v>
                </c:pt>
                <c:pt idx="26">
                  <c:v>8.1</c:v>
                </c:pt>
                <c:pt idx="27">
                  <c:v>3.6</c:v>
                </c:pt>
              </c:numCache>
            </c:numRef>
          </c:val>
          <c:extLst>
            <c:ext xmlns:c16="http://schemas.microsoft.com/office/drawing/2014/chart" uri="{C3380CC4-5D6E-409C-BE32-E72D297353CC}">
              <c16:uniqueId val="{00000000-EAF4-4DC9-9757-0843324E8EEB}"/>
            </c:ext>
          </c:extLst>
        </c:ser>
        <c:dLbls>
          <c:showLegendKey val="0"/>
          <c:showVal val="0"/>
          <c:showCatName val="0"/>
          <c:showSerName val="0"/>
          <c:showPercent val="0"/>
          <c:showBubbleSize val="0"/>
        </c:dLbls>
        <c:gapWidth val="150"/>
        <c:shape val="box"/>
        <c:axId val="685265072"/>
        <c:axId val="685265432"/>
        <c:axId val="0"/>
      </c:bar3DChart>
      <c:catAx>
        <c:axId val="685265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265432"/>
        <c:crosses val="autoZero"/>
        <c:auto val="1"/>
        <c:lblAlgn val="ctr"/>
        <c:lblOffset val="100"/>
        <c:noMultiLvlLbl val="0"/>
      </c:catAx>
      <c:valAx>
        <c:axId val="685265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26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DASHBOARD.xlsx]Sheet1!PivotTable4</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EA-43B2-890C-E32B3B6765B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EA-43B2-890C-E32B3B6765B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EA-43B2-890C-E32B3B6765B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EA-43B2-890C-E32B3B6765B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EA-43B2-890C-E32B3B6765B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9EA-43B2-890C-E32B3B6765B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9EA-43B2-890C-E32B3B6765B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9EA-43B2-890C-E32B3B6765B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9EA-43B2-890C-E32B3B6765B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9EA-43B2-890C-E32B3B6765B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9EA-43B2-890C-E32B3B6765B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9EA-43B2-890C-E32B3B6765B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9EA-43B2-890C-E32B3B6765B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9EA-43B2-890C-E32B3B6765B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9EA-43B2-890C-E32B3B6765B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49EA-43B2-890C-E32B3B6765B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9EA-43B2-890C-E32B3B6765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Sheet1!$J$2:$J$19</c:f>
              <c:strCache>
                <c:ptCount val="17"/>
                <c:pt idx="0">
                  <c:v>Bene Kleed</c:v>
                </c:pt>
                <c:pt idx="1">
                  <c:v>Calvin Klein Jeans</c:v>
                </c:pt>
                <c:pt idx="2">
                  <c:v>Flying Machine</c:v>
                </c:pt>
                <c:pt idx="3">
                  <c:v>French Connection</c:v>
                </c:pt>
                <c:pt idx="4">
                  <c:v>FUGAZEE</c:v>
                </c:pt>
                <c:pt idx="5">
                  <c:v>glitchez</c:v>
                </c:pt>
                <c:pt idx="6">
                  <c:v>HERE&amp;NOW</c:v>
                </c:pt>
                <c:pt idx="7">
                  <c:v>HIGHLANDER</c:v>
                </c:pt>
                <c:pt idx="8">
                  <c:v>Kotty</c:v>
                </c:pt>
                <c:pt idx="9">
                  <c:v>Levis</c:v>
                </c:pt>
                <c:pt idx="10">
                  <c:v>Mast &amp; Harbour</c:v>
                </c:pt>
                <c:pt idx="11">
                  <c:v>Mufti</c:v>
                </c:pt>
                <c:pt idx="12">
                  <c:v>Roadster</c:v>
                </c:pt>
                <c:pt idx="13">
                  <c:v>styzon</c:v>
                </c:pt>
                <c:pt idx="14">
                  <c:v>The Indian Garage Co</c:v>
                </c:pt>
                <c:pt idx="15">
                  <c:v>Urbano Fashion</c:v>
                </c:pt>
                <c:pt idx="16">
                  <c:v>WROGN</c:v>
                </c:pt>
              </c:strCache>
            </c:strRef>
          </c:cat>
          <c:val>
            <c:numRef>
              <c:f>Sheet1!$K$2:$K$19</c:f>
              <c:numCache>
                <c:formatCode>General</c:formatCode>
                <c:ptCount val="17"/>
                <c:pt idx="0">
                  <c:v>19192</c:v>
                </c:pt>
                <c:pt idx="1">
                  <c:v>2499</c:v>
                </c:pt>
                <c:pt idx="2">
                  <c:v>11996</c:v>
                </c:pt>
                <c:pt idx="3">
                  <c:v>3499</c:v>
                </c:pt>
                <c:pt idx="4">
                  <c:v>3499</c:v>
                </c:pt>
                <c:pt idx="5">
                  <c:v>1399</c:v>
                </c:pt>
                <c:pt idx="6">
                  <c:v>1699</c:v>
                </c:pt>
                <c:pt idx="7">
                  <c:v>2749</c:v>
                </c:pt>
                <c:pt idx="8">
                  <c:v>5997</c:v>
                </c:pt>
                <c:pt idx="9">
                  <c:v>6898</c:v>
                </c:pt>
                <c:pt idx="10">
                  <c:v>9596</c:v>
                </c:pt>
                <c:pt idx="11">
                  <c:v>10997</c:v>
                </c:pt>
                <c:pt idx="12">
                  <c:v>14094</c:v>
                </c:pt>
                <c:pt idx="13">
                  <c:v>5398</c:v>
                </c:pt>
                <c:pt idx="14">
                  <c:v>6997</c:v>
                </c:pt>
                <c:pt idx="15">
                  <c:v>5797</c:v>
                </c:pt>
                <c:pt idx="16">
                  <c:v>12795</c:v>
                </c:pt>
              </c:numCache>
            </c:numRef>
          </c:val>
          <c:extLst>
            <c:ext xmlns:c16="http://schemas.microsoft.com/office/drawing/2014/chart" uri="{C3380CC4-5D6E-409C-BE32-E72D297353CC}">
              <c16:uniqueId val="{00000022-49EA-43B2-890C-E32B3B6765B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[MYNTRA DASHBOARD.xlsx]Sheet1!PivotTable5</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Sheet1!$N$1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Sheet1!$M$2:$M$30</c:f>
              <c:strCache>
                <c:ptCount val="28"/>
                <c:pt idx="0">
                  <c:v>Cotton Ecru Straight Fit Jeans</c:v>
                </c:pt>
                <c:pt idx="1">
                  <c:v>Men 511 Slim Fit Jeans</c:v>
                </c:pt>
                <c:pt idx="2">
                  <c:v>Men Anti Fit Jeans</c:v>
                </c:pt>
                <c:pt idx="3">
                  <c:v>Men Black Faded Casual Jeans</c:v>
                </c:pt>
                <c:pt idx="4">
                  <c:v>Men Bootcut Jeans</c:v>
                </c:pt>
                <c:pt idx="5">
                  <c:v>Men Jogger Mid-Rise Jeans</c:v>
                </c:pt>
                <c:pt idx="6">
                  <c:v>Men Loose Fit Cotton Jeans</c:v>
                </c:pt>
                <c:pt idx="7">
                  <c:v>Men Low-Rise Cargo  Jeans</c:v>
                </c:pt>
                <c:pt idx="8">
                  <c:v>Men Low-Rise Jeans</c:v>
                </c:pt>
                <c:pt idx="9">
                  <c:v>Men Mid-Rise Boot Cut Jeans</c:v>
                </c:pt>
                <c:pt idx="10">
                  <c:v>Men Mid-Rise Skinny Fit Jeans</c:v>
                </c:pt>
                <c:pt idx="11">
                  <c:v>Men Pure Cotton Jeans</c:v>
                </c:pt>
                <c:pt idx="12">
                  <c:v>Men Pure Cotton Loose Jeans</c:v>
                </c:pt>
                <c:pt idx="13">
                  <c:v>Men Pure Cotton Skater Jeans</c:v>
                </c:pt>
                <c:pt idx="14">
                  <c:v>Men Regular Fit Mid-Rise Jeans</c:v>
                </c:pt>
                <c:pt idx="15">
                  <c:v>Men Relaxed Fit Jeans</c:v>
                </c:pt>
                <c:pt idx="16">
                  <c:v>Men Relaxed Fit Mid-Rise Jeans</c:v>
                </c:pt>
                <c:pt idx="17">
                  <c:v>Men Slim Fit Jeans</c:v>
                </c:pt>
                <c:pt idx="18">
                  <c:v>Men Slim Fit Mid-Rise Jeans</c:v>
                </c:pt>
                <c:pt idx="19">
                  <c:v>Men Slim Fit Stretchable Jeans</c:v>
                </c:pt>
                <c:pt idx="20">
                  <c:v>Men Slim Tapered Fit Jeans</c:v>
                </c:pt>
                <c:pt idx="21">
                  <c:v>Men Straight Fit Jeans</c:v>
                </c:pt>
                <c:pt idx="22">
                  <c:v>Men Stretchable Jeans</c:v>
                </c:pt>
                <c:pt idx="23">
                  <c:v>Men Super Skinny Fit Jeans</c:v>
                </c:pt>
                <c:pt idx="24">
                  <c:v>Men Wide Leg Heavy Fade Jeans</c:v>
                </c:pt>
                <c:pt idx="25">
                  <c:v>Men Wide Leg Jeans</c:v>
                </c:pt>
                <c:pt idx="26">
                  <c:v>Relaxed Fit Denim Jeans</c:v>
                </c:pt>
                <c:pt idx="27">
                  <c:v>Slim Fit Stretchable Jeans</c:v>
                </c:pt>
              </c:strCache>
            </c:strRef>
          </c:cat>
          <c:val>
            <c:numRef>
              <c:f>Sheet1!$N$2:$N$30</c:f>
              <c:numCache>
                <c:formatCode>General</c:formatCode>
                <c:ptCount val="28"/>
                <c:pt idx="0">
                  <c:v>0.62</c:v>
                </c:pt>
                <c:pt idx="1">
                  <c:v>0.97</c:v>
                </c:pt>
                <c:pt idx="2">
                  <c:v>0.91999999999999993</c:v>
                </c:pt>
                <c:pt idx="3">
                  <c:v>0.69</c:v>
                </c:pt>
                <c:pt idx="4">
                  <c:v>22.55</c:v>
                </c:pt>
                <c:pt idx="5">
                  <c:v>0.75</c:v>
                </c:pt>
                <c:pt idx="6">
                  <c:v>0.45</c:v>
                </c:pt>
                <c:pt idx="7">
                  <c:v>0.68</c:v>
                </c:pt>
                <c:pt idx="8">
                  <c:v>0.74</c:v>
                </c:pt>
                <c:pt idx="9">
                  <c:v>0.62</c:v>
                </c:pt>
                <c:pt idx="10">
                  <c:v>0.59</c:v>
                </c:pt>
                <c:pt idx="11">
                  <c:v>0.61</c:v>
                </c:pt>
                <c:pt idx="12">
                  <c:v>0.42</c:v>
                </c:pt>
                <c:pt idx="13">
                  <c:v>0.73</c:v>
                </c:pt>
                <c:pt idx="14">
                  <c:v>0.6</c:v>
                </c:pt>
                <c:pt idx="15">
                  <c:v>3.58</c:v>
                </c:pt>
                <c:pt idx="16">
                  <c:v>0.72</c:v>
                </c:pt>
                <c:pt idx="17">
                  <c:v>3.89</c:v>
                </c:pt>
                <c:pt idx="18">
                  <c:v>0.67</c:v>
                </c:pt>
                <c:pt idx="19">
                  <c:v>0.42</c:v>
                </c:pt>
                <c:pt idx="20">
                  <c:v>0.73</c:v>
                </c:pt>
                <c:pt idx="21">
                  <c:v>1.6199999999999999</c:v>
                </c:pt>
                <c:pt idx="22">
                  <c:v>1.2000000000000002</c:v>
                </c:pt>
                <c:pt idx="23">
                  <c:v>0.59</c:v>
                </c:pt>
                <c:pt idx="24">
                  <c:v>0.7</c:v>
                </c:pt>
                <c:pt idx="25">
                  <c:v>1.27</c:v>
                </c:pt>
                <c:pt idx="26">
                  <c:v>1.24</c:v>
                </c:pt>
                <c:pt idx="27">
                  <c:v>0.39</c:v>
                </c:pt>
              </c:numCache>
            </c:numRef>
          </c:val>
          <c:smooth val="0"/>
          <c:extLst>
            <c:ext xmlns:c16="http://schemas.microsoft.com/office/drawing/2014/chart" uri="{C3380CC4-5D6E-409C-BE32-E72D297353CC}">
              <c16:uniqueId val="{00000000-88F3-44BC-8A98-2F5AA70C6509}"/>
            </c:ext>
          </c:extLst>
        </c:ser>
        <c:dLbls>
          <c:showLegendKey val="0"/>
          <c:showVal val="0"/>
          <c:showCatName val="0"/>
          <c:showSerName val="0"/>
          <c:showPercent val="0"/>
          <c:showBubbleSize val="0"/>
        </c:dLbls>
        <c:axId val="577383880"/>
        <c:axId val="382018184"/>
        <c:axId val="613110656"/>
      </c:line3DChart>
      <c:catAx>
        <c:axId val="577383880"/>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18184"/>
        <c:crosses val="autoZero"/>
        <c:auto val="1"/>
        <c:lblAlgn val="ctr"/>
        <c:lblOffset val="100"/>
        <c:noMultiLvlLbl val="0"/>
      </c:catAx>
      <c:valAx>
        <c:axId val="3820181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383880"/>
        <c:crosses val="autoZero"/>
        <c:crossBetween val="between"/>
      </c:valAx>
      <c:serAx>
        <c:axId val="613110656"/>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0181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617220</xdr:colOff>
      <xdr:row>20</xdr:row>
      <xdr:rowOff>137160</xdr:rowOff>
    </xdr:from>
    <xdr:to>
      <xdr:col>12</xdr:col>
      <xdr:colOff>1165860</xdr:colOff>
      <xdr:row>31</xdr:row>
      <xdr:rowOff>34290</xdr:rowOff>
    </xdr:to>
    <xdr:graphicFrame macro="">
      <xdr:nvGraphicFramePr>
        <xdr:cNvPr id="2" name="Chart 1">
          <a:extLst>
            <a:ext uri="{FF2B5EF4-FFF2-40B4-BE49-F238E27FC236}">
              <a16:creationId xmlns:a16="http://schemas.microsoft.com/office/drawing/2014/main" id="{662A9B90-5BCD-7283-FAEA-5D14077F4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182880</xdr:colOff>
      <xdr:row>6</xdr:row>
      <xdr:rowOff>144780</xdr:rowOff>
    </xdr:from>
    <xdr:to>
      <xdr:col>12</xdr:col>
      <xdr:colOff>624840</xdr:colOff>
      <xdr:row>18</xdr:row>
      <xdr:rowOff>34290</xdr:rowOff>
    </xdr:to>
    <xdr:graphicFrame macro="">
      <xdr:nvGraphicFramePr>
        <xdr:cNvPr id="3" name="Chart 2">
          <a:extLst>
            <a:ext uri="{FF2B5EF4-FFF2-40B4-BE49-F238E27FC236}">
              <a16:creationId xmlns:a16="http://schemas.microsoft.com/office/drawing/2014/main" id="{CFBC09BD-6F66-DAE1-39C6-7F9163151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411480</xdr:colOff>
      <xdr:row>18</xdr:row>
      <xdr:rowOff>152400</xdr:rowOff>
    </xdr:from>
    <xdr:to>
      <xdr:col>9</xdr:col>
      <xdr:colOff>114300</xdr:colOff>
      <xdr:row>30</xdr:row>
      <xdr:rowOff>140970</xdr:rowOff>
    </xdr:to>
    <xdr:graphicFrame macro="">
      <xdr:nvGraphicFramePr>
        <xdr:cNvPr id="4" name="Chart 3">
          <a:extLst>
            <a:ext uri="{FF2B5EF4-FFF2-40B4-BE49-F238E27FC236}">
              <a16:creationId xmlns:a16="http://schemas.microsoft.com/office/drawing/2014/main" id="{120E4EB4-07BF-9D7F-27A4-50A16AC10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472440</xdr:colOff>
      <xdr:row>5</xdr:row>
      <xdr:rowOff>175260</xdr:rowOff>
    </xdr:from>
    <xdr:to>
      <xdr:col>6</xdr:col>
      <xdr:colOff>1859280</xdr:colOff>
      <xdr:row>17</xdr:row>
      <xdr:rowOff>11430</xdr:rowOff>
    </xdr:to>
    <xdr:graphicFrame macro="">
      <xdr:nvGraphicFramePr>
        <xdr:cNvPr id="5" name="Chart 4">
          <a:extLst>
            <a:ext uri="{FF2B5EF4-FFF2-40B4-BE49-F238E27FC236}">
              <a16:creationId xmlns:a16="http://schemas.microsoft.com/office/drawing/2014/main" id="{FB649284-35E3-16E8-EC78-F9F9F6A7E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15</xdr:row>
      <xdr:rowOff>137160</xdr:rowOff>
    </xdr:from>
    <xdr:to>
      <xdr:col>3</xdr:col>
      <xdr:colOff>685800</xdr:colOff>
      <xdr:row>27</xdr:row>
      <xdr:rowOff>3810</xdr:rowOff>
    </xdr:to>
    <xdr:graphicFrame macro="">
      <xdr:nvGraphicFramePr>
        <xdr:cNvPr id="6" name="Chart 5">
          <a:extLst>
            <a:ext uri="{FF2B5EF4-FFF2-40B4-BE49-F238E27FC236}">
              <a16:creationId xmlns:a16="http://schemas.microsoft.com/office/drawing/2014/main" id="{B16F88BE-9E0C-AD6D-F640-72A7B5981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441960</xdr:colOff>
      <xdr:row>5</xdr:row>
      <xdr:rowOff>160020</xdr:rowOff>
    </xdr:from>
    <xdr:to>
      <xdr:col>6</xdr:col>
      <xdr:colOff>121920</xdr:colOff>
      <xdr:row>19</xdr:row>
      <xdr:rowOff>66675</xdr:rowOff>
    </xdr:to>
    <mc:AlternateContent xmlns:mc="http://schemas.openxmlformats.org/markup-compatibility/2006">
      <mc:Choice xmlns:a14="http://schemas.microsoft.com/office/drawing/2010/main" Requires="a14">
        <xdr:graphicFrame macro="">
          <xdr:nvGraphicFramePr>
            <xdr:cNvPr id="7" name="brand_name">
              <a:extLst>
                <a:ext uri="{FF2B5EF4-FFF2-40B4-BE49-F238E27FC236}">
                  <a16:creationId xmlns:a16="http://schemas.microsoft.com/office/drawing/2014/main" id="{72E5E112-AEC2-E091-AFB0-5EB0A7C5BFAB}"/>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dr:sp macro="" textlink="">
          <xdr:nvSpPr>
            <xdr:cNvPr id="0" name=""/>
            <xdr:cNvSpPr>
              <a:spLocks noTextEdit="1"/>
            </xdr:cNvSpPr>
          </xdr:nvSpPr>
          <xdr:spPr>
            <a:xfrm>
              <a:off x="4389120" y="1074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922020</xdr:colOff>
      <xdr:row>8</xdr:row>
      <xdr:rowOff>91440</xdr:rowOff>
    </xdr:from>
    <xdr:to>
      <xdr:col>6</xdr:col>
      <xdr:colOff>601980</xdr:colOff>
      <xdr:row>21</xdr:row>
      <xdr:rowOff>180975</xdr:rowOff>
    </xdr:to>
    <mc:AlternateContent xmlns:mc="http://schemas.openxmlformats.org/markup-compatibility/2006">
      <mc:Choice xmlns:a14="http://schemas.microsoft.com/office/drawing/2010/main" Requires="a14">
        <xdr:graphicFrame macro="">
          <xdr:nvGraphicFramePr>
            <xdr:cNvPr id="8" name="price">
              <a:extLst>
                <a:ext uri="{FF2B5EF4-FFF2-40B4-BE49-F238E27FC236}">
                  <a16:creationId xmlns:a16="http://schemas.microsoft.com/office/drawing/2014/main" id="{D7117125-3A8F-5354-D417-9DA91AA5966E}"/>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4869180" y="1554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68580</xdr:rowOff>
    </xdr:from>
    <xdr:to>
      <xdr:col>22</xdr:col>
      <xdr:colOff>160020</xdr:colOff>
      <xdr:row>31</xdr:row>
      <xdr:rowOff>45720</xdr:rowOff>
    </xdr:to>
    <xdr:sp macro="" textlink="">
      <xdr:nvSpPr>
        <xdr:cNvPr id="2" name="Rectangle 1">
          <a:extLst>
            <a:ext uri="{FF2B5EF4-FFF2-40B4-BE49-F238E27FC236}">
              <a16:creationId xmlns:a16="http://schemas.microsoft.com/office/drawing/2014/main" id="{08412F9B-ACDB-0B53-7314-7A2E256253AA}"/>
            </a:ext>
          </a:extLst>
        </xdr:cNvPr>
        <xdr:cNvSpPr/>
      </xdr:nvSpPr>
      <xdr:spPr>
        <a:xfrm>
          <a:off x="91440" y="68580"/>
          <a:ext cx="13479780" cy="564642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289560</xdr:colOff>
      <xdr:row>0</xdr:row>
      <xdr:rowOff>167640</xdr:rowOff>
    </xdr:from>
    <xdr:to>
      <xdr:col>22</xdr:col>
      <xdr:colOff>68580</xdr:colOff>
      <xdr:row>4</xdr:row>
      <xdr:rowOff>68580</xdr:rowOff>
    </xdr:to>
    <xdr:sp macro="" textlink="">
      <xdr:nvSpPr>
        <xdr:cNvPr id="3" name="Rectangle 2">
          <a:extLst>
            <a:ext uri="{FF2B5EF4-FFF2-40B4-BE49-F238E27FC236}">
              <a16:creationId xmlns:a16="http://schemas.microsoft.com/office/drawing/2014/main" id="{055EEFBD-EE91-928B-8BBE-E60B4D5FBF14}"/>
            </a:ext>
          </a:extLst>
        </xdr:cNvPr>
        <xdr:cNvSpPr/>
      </xdr:nvSpPr>
      <xdr:spPr>
        <a:xfrm>
          <a:off x="289560" y="167640"/>
          <a:ext cx="13190220" cy="63246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latin typeface="Book Antiqua" panose="02040602050305030304" pitchFamily="18" charset="0"/>
            </a:rPr>
            <a:t>MYNTRA DASHBOARD</a:t>
          </a:r>
        </a:p>
      </xdr:txBody>
    </xdr:sp>
    <xdr:clientData/>
  </xdr:twoCellAnchor>
  <xdr:twoCellAnchor>
    <xdr:from>
      <xdr:col>0</xdr:col>
      <xdr:colOff>350520</xdr:colOff>
      <xdr:row>4</xdr:row>
      <xdr:rowOff>137160</xdr:rowOff>
    </xdr:from>
    <xdr:to>
      <xdr:col>4</xdr:col>
      <xdr:colOff>472440</xdr:colOff>
      <xdr:row>9</xdr:row>
      <xdr:rowOff>60960</xdr:rowOff>
    </xdr:to>
    <xdr:sp macro="" textlink="">
      <xdr:nvSpPr>
        <xdr:cNvPr id="4" name="Rectangle: Rounded Corners 3">
          <a:extLst>
            <a:ext uri="{FF2B5EF4-FFF2-40B4-BE49-F238E27FC236}">
              <a16:creationId xmlns:a16="http://schemas.microsoft.com/office/drawing/2014/main" id="{A88A508D-590A-FFB7-588B-159D0218346C}"/>
            </a:ext>
          </a:extLst>
        </xdr:cNvPr>
        <xdr:cNvSpPr/>
      </xdr:nvSpPr>
      <xdr:spPr>
        <a:xfrm>
          <a:off x="350520" y="868680"/>
          <a:ext cx="2560320" cy="83820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525780</xdr:colOff>
      <xdr:row>4</xdr:row>
      <xdr:rowOff>129540</xdr:rowOff>
    </xdr:from>
    <xdr:to>
      <xdr:col>9</xdr:col>
      <xdr:colOff>38100</xdr:colOff>
      <xdr:row>9</xdr:row>
      <xdr:rowOff>53340</xdr:rowOff>
    </xdr:to>
    <xdr:sp macro="" textlink="">
      <xdr:nvSpPr>
        <xdr:cNvPr id="5" name="Rectangle: Rounded Corners 4">
          <a:extLst>
            <a:ext uri="{FF2B5EF4-FFF2-40B4-BE49-F238E27FC236}">
              <a16:creationId xmlns:a16="http://schemas.microsoft.com/office/drawing/2014/main" id="{41AD69BA-162A-4EFF-8843-6E92C5161348}"/>
            </a:ext>
          </a:extLst>
        </xdr:cNvPr>
        <xdr:cNvSpPr/>
      </xdr:nvSpPr>
      <xdr:spPr>
        <a:xfrm>
          <a:off x="2964180" y="861060"/>
          <a:ext cx="2560320" cy="83820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99060</xdr:colOff>
      <xdr:row>4</xdr:row>
      <xdr:rowOff>137160</xdr:rowOff>
    </xdr:from>
    <xdr:to>
      <xdr:col>13</xdr:col>
      <xdr:colOff>220980</xdr:colOff>
      <xdr:row>9</xdr:row>
      <xdr:rowOff>60960</xdr:rowOff>
    </xdr:to>
    <xdr:sp macro="" textlink="">
      <xdr:nvSpPr>
        <xdr:cNvPr id="6" name="Rectangle: Rounded Corners 5">
          <a:extLst>
            <a:ext uri="{FF2B5EF4-FFF2-40B4-BE49-F238E27FC236}">
              <a16:creationId xmlns:a16="http://schemas.microsoft.com/office/drawing/2014/main" id="{A0EE76FF-B29E-46EA-8BFD-A952E7F83D31}"/>
            </a:ext>
          </a:extLst>
        </xdr:cNvPr>
        <xdr:cNvSpPr/>
      </xdr:nvSpPr>
      <xdr:spPr>
        <a:xfrm>
          <a:off x="5585460" y="868680"/>
          <a:ext cx="2560320" cy="83820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274320</xdr:colOff>
      <xdr:row>4</xdr:row>
      <xdr:rowOff>121920</xdr:rowOff>
    </xdr:from>
    <xdr:to>
      <xdr:col>17</xdr:col>
      <xdr:colOff>396240</xdr:colOff>
      <xdr:row>9</xdr:row>
      <xdr:rowOff>45720</xdr:rowOff>
    </xdr:to>
    <xdr:sp macro="" textlink="">
      <xdr:nvSpPr>
        <xdr:cNvPr id="7" name="Rectangle: Rounded Corners 6">
          <a:extLst>
            <a:ext uri="{FF2B5EF4-FFF2-40B4-BE49-F238E27FC236}">
              <a16:creationId xmlns:a16="http://schemas.microsoft.com/office/drawing/2014/main" id="{D352649F-2E0A-485D-B88E-097A7A862C81}"/>
            </a:ext>
          </a:extLst>
        </xdr:cNvPr>
        <xdr:cNvSpPr/>
      </xdr:nvSpPr>
      <xdr:spPr>
        <a:xfrm>
          <a:off x="8199120" y="853440"/>
          <a:ext cx="2560320" cy="83820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457200</xdr:colOff>
      <xdr:row>4</xdr:row>
      <xdr:rowOff>114300</xdr:rowOff>
    </xdr:from>
    <xdr:to>
      <xdr:col>21</xdr:col>
      <xdr:colOff>579120</xdr:colOff>
      <xdr:row>9</xdr:row>
      <xdr:rowOff>38100</xdr:rowOff>
    </xdr:to>
    <xdr:sp macro="" textlink="">
      <xdr:nvSpPr>
        <xdr:cNvPr id="8" name="Rectangle: Rounded Corners 7">
          <a:extLst>
            <a:ext uri="{FF2B5EF4-FFF2-40B4-BE49-F238E27FC236}">
              <a16:creationId xmlns:a16="http://schemas.microsoft.com/office/drawing/2014/main" id="{A748B33E-AC29-4741-B6F3-87B6E6E4E98C}"/>
            </a:ext>
          </a:extLst>
        </xdr:cNvPr>
        <xdr:cNvSpPr/>
      </xdr:nvSpPr>
      <xdr:spPr>
        <a:xfrm>
          <a:off x="10820400" y="845820"/>
          <a:ext cx="2560320" cy="838200"/>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304800</xdr:colOff>
      <xdr:row>7</xdr:row>
      <xdr:rowOff>68580</xdr:rowOff>
    </xdr:from>
    <xdr:to>
      <xdr:col>4</xdr:col>
      <xdr:colOff>320040</xdr:colOff>
      <xdr:row>8</xdr:row>
      <xdr:rowOff>129540</xdr:rowOff>
    </xdr:to>
    <xdr:sp macro="" textlink="'myntra_dataset_ByScraping (1)'!J7">
      <xdr:nvSpPr>
        <xdr:cNvPr id="16" name="Rectangle 15">
          <a:extLst>
            <a:ext uri="{FF2B5EF4-FFF2-40B4-BE49-F238E27FC236}">
              <a16:creationId xmlns:a16="http://schemas.microsoft.com/office/drawing/2014/main" id="{57A89069-8449-6C3F-7961-574DE9E6E6EA}"/>
            </a:ext>
          </a:extLst>
        </xdr:cNvPr>
        <xdr:cNvSpPr/>
      </xdr:nvSpPr>
      <xdr:spPr>
        <a:xfrm>
          <a:off x="1524000" y="134874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4A462C-3038-4C94-AA0B-B011C18925C8}"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lgn="ctr"/>
            <a:t>52904</a:t>
          </a:fld>
          <a:endParaRPr lang="en-US"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2</xdr:col>
      <xdr:colOff>297180</xdr:colOff>
      <xdr:row>5</xdr:row>
      <xdr:rowOff>114300</xdr:rowOff>
    </xdr:from>
    <xdr:to>
      <xdr:col>4</xdr:col>
      <xdr:colOff>312420</xdr:colOff>
      <xdr:row>6</xdr:row>
      <xdr:rowOff>175260</xdr:rowOff>
    </xdr:to>
    <xdr:sp macro="" textlink="">
      <xdr:nvSpPr>
        <xdr:cNvPr id="17" name="Rectangle 16">
          <a:extLst>
            <a:ext uri="{FF2B5EF4-FFF2-40B4-BE49-F238E27FC236}">
              <a16:creationId xmlns:a16="http://schemas.microsoft.com/office/drawing/2014/main" id="{AE31E4C8-F58B-456E-B0AC-F350FFD2D9EB}"/>
            </a:ext>
          </a:extLst>
        </xdr:cNvPr>
        <xdr:cNvSpPr/>
      </xdr:nvSpPr>
      <xdr:spPr>
        <a:xfrm>
          <a:off x="1516380" y="102870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1400" b="1" cap="none" spc="0">
              <a:ln/>
              <a:solidFill>
                <a:schemeClr val="accent3"/>
              </a:solidFill>
              <a:effectLst/>
            </a:rPr>
            <a:t>TOTAL PRICE</a:t>
          </a:r>
        </a:p>
      </xdr:txBody>
    </xdr:sp>
    <xdr:clientData/>
  </xdr:twoCellAnchor>
  <xdr:twoCellAnchor>
    <xdr:from>
      <xdr:col>6</xdr:col>
      <xdr:colOff>441960</xdr:colOff>
      <xdr:row>7</xdr:row>
      <xdr:rowOff>38100</xdr:rowOff>
    </xdr:from>
    <xdr:to>
      <xdr:col>8</xdr:col>
      <xdr:colOff>457200</xdr:colOff>
      <xdr:row>8</xdr:row>
      <xdr:rowOff>99060</xdr:rowOff>
    </xdr:to>
    <xdr:sp macro="" textlink="'myntra_dataset_ByScraping (1)'!J9">
      <xdr:nvSpPr>
        <xdr:cNvPr id="18" name="Rectangle 17">
          <a:extLst>
            <a:ext uri="{FF2B5EF4-FFF2-40B4-BE49-F238E27FC236}">
              <a16:creationId xmlns:a16="http://schemas.microsoft.com/office/drawing/2014/main" id="{411E9034-991A-4C39-9126-9E2BC931AE96}"/>
            </a:ext>
          </a:extLst>
        </xdr:cNvPr>
        <xdr:cNvSpPr/>
      </xdr:nvSpPr>
      <xdr:spPr>
        <a:xfrm>
          <a:off x="4099560" y="131826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B096DC-4635-4B72-A72F-BDC40A5EE824}"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lgn="ctr"/>
            <a:t>125101</a:t>
          </a:fld>
          <a:endParaRPr lang="en-US"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6</xdr:col>
      <xdr:colOff>441960</xdr:colOff>
      <xdr:row>5</xdr:row>
      <xdr:rowOff>53340</xdr:rowOff>
    </xdr:from>
    <xdr:to>
      <xdr:col>8</xdr:col>
      <xdr:colOff>457200</xdr:colOff>
      <xdr:row>6</xdr:row>
      <xdr:rowOff>114300</xdr:rowOff>
    </xdr:to>
    <xdr:sp macro="" textlink="">
      <xdr:nvSpPr>
        <xdr:cNvPr id="19" name="Rectangle 18">
          <a:extLst>
            <a:ext uri="{FF2B5EF4-FFF2-40B4-BE49-F238E27FC236}">
              <a16:creationId xmlns:a16="http://schemas.microsoft.com/office/drawing/2014/main" id="{49C3F356-C3A7-4563-B827-A6B85A19E449}"/>
            </a:ext>
          </a:extLst>
        </xdr:cNvPr>
        <xdr:cNvSpPr/>
      </xdr:nvSpPr>
      <xdr:spPr>
        <a:xfrm>
          <a:off x="4099560" y="96774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1400" b="1" cap="none" spc="0">
              <a:ln/>
              <a:solidFill>
                <a:schemeClr val="accent3"/>
              </a:solidFill>
              <a:effectLst/>
            </a:rPr>
            <a:t>TOTAL MRP</a:t>
          </a:r>
        </a:p>
      </xdr:txBody>
    </xdr:sp>
    <xdr:clientData/>
  </xdr:twoCellAnchor>
  <xdr:twoCellAnchor>
    <xdr:from>
      <xdr:col>11</xdr:col>
      <xdr:colOff>38100</xdr:colOff>
      <xdr:row>7</xdr:row>
      <xdr:rowOff>68580</xdr:rowOff>
    </xdr:from>
    <xdr:to>
      <xdr:col>13</xdr:col>
      <xdr:colOff>53340</xdr:colOff>
      <xdr:row>8</xdr:row>
      <xdr:rowOff>129540</xdr:rowOff>
    </xdr:to>
    <xdr:sp macro="" textlink="'myntra_dataset_ByScraping (1)'!J11">
      <xdr:nvSpPr>
        <xdr:cNvPr id="20" name="Rectangle 19">
          <a:extLst>
            <a:ext uri="{FF2B5EF4-FFF2-40B4-BE49-F238E27FC236}">
              <a16:creationId xmlns:a16="http://schemas.microsoft.com/office/drawing/2014/main" id="{6E667E06-5126-44D7-B4F7-7EBB7179A7E5}"/>
            </a:ext>
          </a:extLst>
        </xdr:cNvPr>
        <xdr:cNvSpPr/>
      </xdr:nvSpPr>
      <xdr:spPr>
        <a:xfrm>
          <a:off x="6743700" y="134874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8B1D67-CA27-4C72-9927-F205CF3F1791}"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lgn="ctr"/>
            <a:t>48.96</a:t>
          </a:fld>
          <a:endParaRPr lang="en-US"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11</xdr:col>
      <xdr:colOff>30480</xdr:colOff>
      <xdr:row>5</xdr:row>
      <xdr:rowOff>91440</xdr:rowOff>
    </xdr:from>
    <xdr:to>
      <xdr:col>13</xdr:col>
      <xdr:colOff>45720</xdr:colOff>
      <xdr:row>6</xdr:row>
      <xdr:rowOff>152400</xdr:rowOff>
    </xdr:to>
    <xdr:sp macro="" textlink="">
      <xdr:nvSpPr>
        <xdr:cNvPr id="21" name="Rectangle 20">
          <a:extLst>
            <a:ext uri="{FF2B5EF4-FFF2-40B4-BE49-F238E27FC236}">
              <a16:creationId xmlns:a16="http://schemas.microsoft.com/office/drawing/2014/main" id="{7C5F8E3E-3368-431A-B9F6-EB949D00C1BD}"/>
            </a:ext>
          </a:extLst>
        </xdr:cNvPr>
        <xdr:cNvSpPr/>
      </xdr:nvSpPr>
      <xdr:spPr>
        <a:xfrm>
          <a:off x="6736080" y="100584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1400" b="1" cap="none" spc="0">
              <a:ln/>
              <a:solidFill>
                <a:schemeClr val="accent3"/>
              </a:solidFill>
              <a:effectLst/>
            </a:rPr>
            <a:t>DISCOUNT</a:t>
          </a:r>
        </a:p>
      </xdr:txBody>
    </xdr:sp>
    <xdr:clientData/>
  </xdr:twoCellAnchor>
  <xdr:twoCellAnchor>
    <xdr:from>
      <xdr:col>15</xdr:col>
      <xdr:colOff>228600</xdr:colOff>
      <xdr:row>7</xdr:row>
      <xdr:rowOff>45720</xdr:rowOff>
    </xdr:from>
    <xdr:to>
      <xdr:col>17</xdr:col>
      <xdr:colOff>243840</xdr:colOff>
      <xdr:row>8</xdr:row>
      <xdr:rowOff>106680</xdr:rowOff>
    </xdr:to>
    <xdr:sp macro="" textlink="'myntra_dataset_ByScraping (1)'!J13">
      <xdr:nvSpPr>
        <xdr:cNvPr id="22" name="Rectangle 21">
          <a:extLst>
            <a:ext uri="{FF2B5EF4-FFF2-40B4-BE49-F238E27FC236}">
              <a16:creationId xmlns:a16="http://schemas.microsoft.com/office/drawing/2014/main" id="{1FF517BF-9F2D-40B1-8210-3DFBDC9557C5}"/>
            </a:ext>
          </a:extLst>
        </xdr:cNvPr>
        <xdr:cNvSpPr/>
      </xdr:nvSpPr>
      <xdr:spPr>
        <a:xfrm>
          <a:off x="9372600" y="132588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2E783D-521E-4889-AAA1-CF8D368ACE70}"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lgn="ctr"/>
            <a:t>190.6</a:t>
          </a:fld>
          <a:endParaRPr lang="en-US"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15</xdr:col>
      <xdr:colOff>220980</xdr:colOff>
      <xdr:row>5</xdr:row>
      <xdr:rowOff>68580</xdr:rowOff>
    </xdr:from>
    <xdr:to>
      <xdr:col>17</xdr:col>
      <xdr:colOff>236220</xdr:colOff>
      <xdr:row>6</xdr:row>
      <xdr:rowOff>129540</xdr:rowOff>
    </xdr:to>
    <xdr:sp macro="" textlink="">
      <xdr:nvSpPr>
        <xdr:cNvPr id="23" name="Rectangle 22">
          <a:extLst>
            <a:ext uri="{FF2B5EF4-FFF2-40B4-BE49-F238E27FC236}">
              <a16:creationId xmlns:a16="http://schemas.microsoft.com/office/drawing/2014/main" id="{3B26D2DA-C6A5-494C-80B6-4D4C83DC7F7C}"/>
            </a:ext>
          </a:extLst>
        </xdr:cNvPr>
        <xdr:cNvSpPr/>
      </xdr:nvSpPr>
      <xdr:spPr>
        <a:xfrm>
          <a:off x="9364980" y="98298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US" sz="1400" b="1" cap="none" spc="0">
              <a:ln/>
              <a:solidFill>
                <a:schemeClr val="accent3"/>
              </a:solidFill>
              <a:effectLst/>
            </a:rPr>
            <a:t>RATINGS</a:t>
          </a:r>
        </a:p>
      </xdr:txBody>
    </xdr:sp>
    <xdr:clientData/>
  </xdr:twoCellAnchor>
  <xdr:twoCellAnchor>
    <xdr:from>
      <xdr:col>19</xdr:col>
      <xdr:colOff>381000</xdr:colOff>
      <xdr:row>7</xdr:row>
      <xdr:rowOff>7620</xdr:rowOff>
    </xdr:from>
    <xdr:to>
      <xdr:col>21</xdr:col>
      <xdr:colOff>396240</xdr:colOff>
      <xdr:row>8</xdr:row>
      <xdr:rowOff>68580</xdr:rowOff>
    </xdr:to>
    <xdr:sp macro="" textlink="'myntra_dataset_ByScraping (1)'!J15">
      <xdr:nvSpPr>
        <xdr:cNvPr id="24" name="Rectangle 23">
          <a:extLst>
            <a:ext uri="{FF2B5EF4-FFF2-40B4-BE49-F238E27FC236}">
              <a16:creationId xmlns:a16="http://schemas.microsoft.com/office/drawing/2014/main" id="{2D613CEE-14DC-4269-921E-4A8B15F54293}"/>
            </a:ext>
          </a:extLst>
        </xdr:cNvPr>
        <xdr:cNvSpPr/>
      </xdr:nvSpPr>
      <xdr:spPr>
        <a:xfrm>
          <a:off x="11963400" y="128778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9D5C76F-B93A-4C6E-BA4B-66C35C23731C}" type="TxLink">
            <a:rPr lang="en-US" sz="1100" b="1" i="0" u="none" strike="noStrike" cap="none" spc="50">
              <a:ln w="0"/>
              <a:solidFill>
                <a:schemeClr val="bg2"/>
              </a:solidFill>
              <a:effectLst>
                <a:innerShdw blurRad="63500" dist="50800" dir="13500000">
                  <a:srgbClr val="000000">
                    <a:alpha val="50000"/>
                  </a:srgbClr>
                </a:innerShdw>
              </a:effectLst>
              <a:latin typeface="Calibri"/>
              <a:cs typeface="Calibri"/>
            </a:rPr>
            <a:pPr algn="ctr"/>
            <a:t>59773</a:t>
          </a:fld>
          <a:endParaRPr lang="en-US" sz="11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19</xdr:col>
      <xdr:colOff>381000</xdr:colOff>
      <xdr:row>5</xdr:row>
      <xdr:rowOff>30480</xdr:rowOff>
    </xdr:from>
    <xdr:to>
      <xdr:col>21</xdr:col>
      <xdr:colOff>396240</xdr:colOff>
      <xdr:row>6</xdr:row>
      <xdr:rowOff>91440</xdr:rowOff>
    </xdr:to>
    <xdr:sp macro="" textlink="">
      <xdr:nvSpPr>
        <xdr:cNvPr id="25" name="Rectangle 24">
          <a:extLst>
            <a:ext uri="{FF2B5EF4-FFF2-40B4-BE49-F238E27FC236}">
              <a16:creationId xmlns:a16="http://schemas.microsoft.com/office/drawing/2014/main" id="{C895CA9D-AB8A-41C9-9C38-F685DA7B426B}"/>
            </a:ext>
          </a:extLst>
        </xdr:cNvPr>
        <xdr:cNvSpPr/>
      </xdr:nvSpPr>
      <xdr:spPr>
        <a:xfrm>
          <a:off x="11963400" y="944880"/>
          <a:ext cx="1234440" cy="24384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harsh" dir="t"/>
          </a:scene3d>
          <a:sp3d extrusionH="57150" prstMaterial="matte">
            <a:bevelT w="63500" h="12700" prst="angle"/>
            <a:contourClr>
              <a:schemeClr val="bg1">
                <a:lumMod val="65000"/>
              </a:schemeClr>
            </a:contourClr>
          </a:sp3d>
        </a:bodyPr>
        <a:lstStyle/>
        <a:p>
          <a:pPr algn="l"/>
          <a:r>
            <a:rPr lang="en-US" sz="1200" b="1" cap="none" spc="0">
              <a:ln/>
              <a:solidFill>
                <a:schemeClr val="accent3"/>
              </a:solidFill>
              <a:effectLst/>
            </a:rPr>
            <a:t>NO OF RATINGS</a:t>
          </a:r>
        </a:p>
      </xdr:txBody>
    </xdr:sp>
    <xdr:clientData/>
  </xdr:twoCellAnchor>
  <xdr:twoCellAnchor editAs="oneCell">
    <xdr:from>
      <xdr:col>9</xdr:col>
      <xdr:colOff>388620</xdr:colOff>
      <xdr:row>5</xdr:row>
      <xdr:rowOff>68580</xdr:rowOff>
    </xdr:from>
    <xdr:to>
      <xdr:col>10</xdr:col>
      <xdr:colOff>441960</xdr:colOff>
      <xdr:row>9</xdr:row>
      <xdr:rowOff>0</xdr:rowOff>
    </xdr:to>
    <xdr:pic>
      <xdr:nvPicPr>
        <xdr:cNvPr id="30" name="Graphic 29" descr="Bar graph with downward trend with solid fill">
          <a:extLst>
            <a:ext uri="{FF2B5EF4-FFF2-40B4-BE49-F238E27FC236}">
              <a16:creationId xmlns:a16="http://schemas.microsoft.com/office/drawing/2014/main" id="{4EED4DD4-FA10-286B-442B-96D4C6CC16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875020" y="982980"/>
          <a:ext cx="662940" cy="662940"/>
        </a:xfrm>
        <a:prstGeom prst="rect">
          <a:avLst/>
        </a:prstGeom>
      </xdr:spPr>
    </xdr:pic>
    <xdr:clientData/>
  </xdr:twoCellAnchor>
  <xdr:twoCellAnchor editAs="oneCell">
    <xdr:from>
      <xdr:col>13</xdr:col>
      <xdr:colOff>510540</xdr:colOff>
      <xdr:row>5</xdr:row>
      <xdr:rowOff>7620</xdr:rowOff>
    </xdr:from>
    <xdr:to>
      <xdr:col>15</xdr:col>
      <xdr:colOff>15240</xdr:colOff>
      <xdr:row>9</xdr:row>
      <xdr:rowOff>0</xdr:rowOff>
    </xdr:to>
    <xdr:pic>
      <xdr:nvPicPr>
        <xdr:cNvPr id="32" name="Graphic 31" descr="Checklist with solid fill">
          <a:extLst>
            <a:ext uri="{FF2B5EF4-FFF2-40B4-BE49-F238E27FC236}">
              <a16:creationId xmlns:a16="http://schemas.microsoft.com/office/drawing/2014/main" id="{B2CB5B44-7334-212C-85F5-5E66CD7276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35340" y="922020"/>
          <a:ext cx="723900" cy="723900"/>
        </a:xfrm>
        <a:prstGeom prst="rect">
          <a:avLst/>
        </a:prstGeom>
      </xdr:spPr>
    </xdr:pic>
    <xdr:clientData/>
  </xdr:twoCellAnchor>
  <xdr:twoCellAnchor editAs="oneCell">
    <xdr:from>
      <xdr:col>18</xdr:col>
      <xdr:colOff>190500</xdr:colOff>
      <xdr:row>5</xdr:row>
      <xdr:rowOff>30480</xdr:rowOff>
    </xdr:from>
    <xdr:to>
      <xdr:col>19</xdr:col>
      <xdr:colOff>236220</xdr:colOff>
      <xdr:row>8</xdr:row>
      <xdr:rowOff>137160</xdr:rowOff>
    </xdr:to>
    <xdr:pic>
      <xdr:nvPicPr>
        <xdr:cNvPr id="34" name="Graphic 33" descr="Business Growth with solid fill">
          <a:extLst>
            <a:ext uri="{FF2B5EF4-FFF2-40B4-BE49-F238E27FC236}">
              <a16:creationId xmlns:a16="http://schemas.microsoft.com/office/drawing/2014/main" id="{881C57F5-8BFE-C319-E353-6767829A6FC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63300" y="944880"/>
          <a:ext cx="655320" cy="655320"/>
        </a:xfrm>
        <a:prstGeom prst="rect">
          <a:avLst/>
        </a:prstGeom>
      </xdr:spPr>
    </xdr:pic>
    <xdr:clientData/>
  </xdr:twoCellAnchor>
  <xdr:twoCellAnchor>
    <xdr:from>
      <xdr:col>0</xdr:col>
      <xdr:colOff>312420</xdr:colOff>
      <xdr:row>10</xdr:row>
      <xdr:rowOff>45720</xdr:rowOff>
    </xdr:from>
    <xdr:to>
      <xdr:col>7</xdr:col>
      <xdr:colOff>342900</xdr:colOff>
      <xdr:row>20</xdr:row>
      <xdr:rowOff>45720</xdr:rowOff>
    </xdr:to>
    <xdr:sp macro="" textlink="">
      <xdr:nvSpPr>
        <xdr:cNvPr id="35" name="TextBox 34">
          <a:extLst>
            <a:ext uri="{FF2B5EF4-FFF2-40B4-BE49-F238E27FC236}">
              <a16:creationId xmlns:a16="http://schemas.microsoft.com/office/drawing/2014/main" id="{031AE6C2-3592-0A9C-86EB-E2F6BB5D9EC3}"/>
            </a:ext>
          </a:extLst>
        </xdr:cNvPr>
        <xdr:cNvSpPr txBox="1"/>
      </xdr:nvSpPr>
      <xdr:spPr>
        <a:xfrm>
          <a:off x="312420" y="1874520"/>
          <a:ext cx="429768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396240</xdr:colOff>
      <xdr:row>10</xdr:row>
      <xdr:rowOff>38100</xdr:rowOff>
    </xdr:from>
    <xdr:to>
      <xdr:col>14</xdr:col>
      <xdr:colOff>426720</xdr:colOff>
      <xdr:row>20</xdr:row>
      <xdr:rowOff>38100</xdr:rowOff>
    </xdr:to>
    <xdr:sp macro="" textlink="">
      <xdr:nvSpPr>
        <xdr:cNvPr id="41" name="TextBox 40">
          <a:extLst>
            <a:ext uri="{FF2B5EF4-FFF2-40B4-BE49-F238E27FC236}">
              <a16:creationId xmlns:a16="http://schemas.microsoft.com/office/drawing/2014/main" id="{7F8D9F69-8C54-428C-84FE-AA438C9CDAF2}"/>
            </a:ext>
          </a:extLst>
        </xdr:cNvPr>
        <xdr:cNvSpPr txBox="1"/>
      </xdr:nvSpPr>
      <xdr:spPr>
        <a:xfrm>
          <a:off x="4663440" y="1866900"/>
          <a:ext cx="429768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510540</xdr:colOff>
      <xdr:row>4</xdr:row>
      <xdr:rowOff>167640</xdr:rowOff>
    </xdr:from>
    <xdr:to>
      <xdr:col>2</xdr:col>
      <xdr:colOff>99060</xdr:colOff>
      <xdr:row>9</xdr:row>
      <xdr:rowOff>60960</xdr:rowOff>
    </xdr:to>
    <xdr:pic>
      <xdr:nvPicPr>
        <xdr:cNvPr id="45" name="Graphic 44" descr="Coins with solid fill">
          <a:extLst>
            <a:ext uri="{FF2B5EF4-FFF2-40B4-BE49-F238E27FC236}">
              <a16:creationId xmlns:a16="http://schemas.microsoft.com/office/drawing/2014/main" id="{A3DA6680-C009-4F23-B8A9-FF8CBBCE0D1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0540" y="899160"/>
          <a:ext cx="807720" cy="807720"/>
        </a:xfrm>
        <a:prstGeom prst="rect">
          <a:avLst/>
        </a:prstGeom>
      </xdr:spPr>
    </xdr:pic>
    <xdr:clientData/>
  </xdr:twoCellAnchor>
  <xdr:twoCellAnchor editAs="oneCell">
    <xdr:from>
      <xdr:col>5</xdr:col>
      <xdr:colOff>91440</xdr:colOff>
      <xdr:row>4</xdr:row>
      <xdr:rowOff>152400</xdr:rowOff>
    </xdr:from>
    <xdr:to>
      <xdr:col>6</xdr:col>
      <xdr:colOff>289560</xdr:colOff>
      <xdr:row>9</xdr:row>
      <xdr:rowOff>45720</xdr:rowOff>
    </xdr:to>
    <xdr:pic>
      <xdr:nvPicPr>
        <xdr:cNvPr id="46" name="Graphic 45" descr="Coins with solid fill">
          <a:extLst>
            <a:ext uri="{FF2B5EF4-FFF2-40B4-BE49-F238E27FC236}">
              <a16:creationId xmlns:a16="http://schemas.microsoft.com/office/drawing/2014/main" id="{FF56E518-57DB-4ACD-85F8-19441FFE31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139440" y="883920"/>
          <a:ext cx="807720" cy="807720"/>
        </a:xfrm>
        <a:prstGeom prst="rect">
          <a:avLst/>
        </a:prstGeom>
      </xdr:spPr>
    </xdr:pic>
    <xdr:clientData/>
  </xdr:twoCellAnchor>
  <xdr:twoCellAnchor>
    <xdr:from>
      <xdr:col>14</xdr:col>
      <xdr:colOff>495300</xdr:colOff>
      <xdr:row>10</xdr:row>
      <xdr:rowOff>30480</xdr:rowOff>
    </xdr:from>
    <xdr:to>
      <xdr:col>21</xdr:col>
      <xdr:colOff>525780</xdr:colOff>
      <xdr:row>20</xdr:row>
      <xdr:rowOff>30480</xdr:rowOff>
    </xdr:to>
    <xdr:sp macro="" textlink="">
      <xdr:nvSpPr>
        <xdr:cNvPr id="47" name="TextBox 46">
          <a:extLst>
            <a:ext uri="{FF2B5EF4-FFF2-40B4-BE49-F238E27FC236}">
              <a16:creationId xmlns:a16="http://schemas.microsoft.com/office/drawing/2014/main" id="{D1244E0F-739D-D8D3-AF3C-D9D0191A83CA}"/>
            </a:ext>
          </a:extLst>
        </xdr:cNvPr>
        <xdr:cNvSpPr txBox="1"/>
      </xdr:nvSpPr>
      <xdr:spPr>
        <a:xfrm>
          <a:off x="9029700" y="1859280"/>
          <a:ext cx="429768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320040</xdr:colOff>
      <xdr:row>20</xdr:row>
      <xdr:rowOff>121920</xdr:rowOff>
    </xdr:from>
    <xdr:to>
      <xdr:col>7</xdr:col>
      <xdr:colOff>350520</xdr:colOff>
      <xdr:row>30</xdr:row>
      <xdr:rowOff>121920</xdr:rowOff>
    </xdr:to>
    <xdr:sp macro="" textlink="">
      <xdr:nvSpPr>
        <xdr:cNvPr id="49" name="TextBox 48">
          <a:extLst>
            <a:ext uri="{FF2B5EF4-FFF2-40B4-BE49-F238E27FC236}">
              <a16:creationId xmlns:a16="http://schemas.microsoft.com/office/drawing/2014/main" id="{42C81FBD-8C90-78B9-438B-0FCA2D186451}"/>
            </a:ext>
          </a:extLst>
        </xdr:cNvPr>
        <xdr:cNvSpPr txBox="1"/>
      </xdr:nvSpPr>
      <xdr:spPr>
        <a:xfrm>
          <a:off x="320040" y="3779520"/>
          <a:ext cx="429768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441960</xdr:colOff>
      <xdr:row>20</xdr:row>
      <xdr:rowOff>114300</xdr:rowOff>
    </xdr:from>
    <xdr:to>
      <xdr:col>14</xdr:col>
      <xdr:colOff>472440</xdr:colOff>
      <xdr:row>30</xdr:row>
      <xdr:rowOff>114300</xdr:rowOff>
    </xdr:to>
    <xdr:sp macro="" textlink="">
      <xdr:nvSpPr>
        <xdr:cNvPr id="50" name="TextBox 49">
          <a:extLst>
            <a:ext uri="{FF2B5EF4-FFF2-40B4-BE49-F238E27FC236}">
              <a16:creationId xmlns:a16="http://schemas.microsoft.com/office/drawing/2014/main" id="{0D52D722-3340-C808-BC89-733463306BB5}"/>
            </a:ext>
          </a:extLst>
        </xdr:cNvPr>
        <xdr:cNvSpPr txBox="1"/>
      </xdr:nvSpPr>
      <xdr:spPr>
        <a:xfrm>
          <a:off x="4709160" y="3771900"/>
          <a:ext cx="4297680" cy="1828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0</xdr:col>
      <xdr:colOff>312420</xdr:colOff>
      <xdr:row>10</xdr:row>
      <xdr:rowOff>45720</xdr:rowOff>
    </xdr:from>
    <xdr:to>
      <xdr:col>7</xdr:col>
      <xdr:colOff>335280</xdr:colOff>
      <xdr:row>20</xdr:row>
      <xdr:rowOff>60960</xdr:rowOff>
    </xdr:to>
    <xdr:graphicFrame macro="">
      <xdr:nvGraphicFramePr>
        <xdr:cNvPr id="51" name="Chart 50">
          <a:extLst>
            <a:ext uri="{FF2B5EF4-FFF2-40B4-BE49-F238E27FC236}">
              <a16:creationId xmlns:a16="http://schemas.microsoft.com/office/drawing/2014/main" id="{947F3E63-E84D-4F1A-8AE0-2B6736BCA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396240</xdr:colOff>
      <xdr:row>10</xdr:row>
      <xdr:rowOff>38100</xdr:rowOff>
    </xdr:from>
    <xdr:to>
      <xdr:col>14</xdr:col>
      <xdr:colOff>426720</xdr:colOff>
      <xdr:row>20</xdr:row>
      <xdr:rowOff>38100</xdr:rowOff>
    </xdr:to>
    <xdr:graphicFrame macro="">
      <xdr:nvGraphicFramePr>
        <xdr:cNvPr id="52" name="Chart 51">
          <a:extLst>
            <a:ext uri="{FF2B5EF4-FFF2-40B4-BE49-F238E27FC236}">
              <a16:creationId xmlns:a16="http://schemas.microsoft.com/office/drawing/2014/main" id="{243BB5B5-27D8-41B3-90CD-1643705AC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495300</xdr:colOff>
      <xdr:row>10</xdr:row>
      <xdr:rowOff>30480</xdr:rowOff>
    </xdr:from>
    <xdr:to>
      <xdr:col>21</xdr:col>
      <xdr:colOff>533400</xdr:colOff>
      <xdr:row>20</xdr:row>
      <xdr:rowOff>30480</xdr:rowOff>
    </xdr:to>
    <xdr:graphicFrame macro="">
      <xdr:nvGraphicFramePr>
        <xdr:cNvPr id="53" name="Chart 52">
          <a:extLst>
            <a:ext uri="{FF2B5EF4-FFF2-40B4-BE49-F238E27FC236}">
              <a16:creationId xmlns:a16="http://schemas.microsoft.com/office/drawing/2014/main" id="{9E8B3C3A-9316-41F6-8046-76D5559F8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320040</xdr:colOff>
      <xdr:row>20</xdr:row>
      <xdr:rowOff>121920</xdr:rowOff>
    </xdr:from>
    <xdr:to>
      <xdr:col>7</xdr:col>
      <xdr:colOff>365760</xdr:colOff>
      <xdr:row>30</xdr:row>
      <xdr:rowOff>121920</xdr:rowOff>
    </xdr:to>
    <xdr:graphicFrame macro="">
      <xdr:nvGraphicFramePr>
        <xdr:cNvPr id="54" name="Chart 53">
          <a:extLst>
            <a:ext uri="{FF2B5EF4-FFF2-40B4-BE49-F238E27FC236}">
              <a16:creationId xmlns:a16="http://schemas.microsoft.com/office/drawing/2014/main" id="{EC2E6F79-DECC-49A6-ACD3-288CCB7AE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441960</xdr:colOff>
      <xdr:row>20</xdr:row>
      <xdr:rowOff>114300</xdr:rowOff>
    </xdr:from>
    <xdr:to>
      <xdr:col>14</xdr:col>
      <xdr:colOff>487680</xdr:colOff>
      <xdr:row>30</xdr:row>
      <xdr:rowOff>114300</xdr:rowOff>
    </xdr:to>
    <xdr:graphicFrame macro="">
      <xdr:nvGraphicFramePr>
        <xdr:cNvPr id="55" name="Chart 54">
          <a:extLst>
            <a:ext uri="{FF2B5EF4-FFF2-40B4-BE49-F238E27FC236}">
              <a16:creationId xmlns:a16="http://schemas.microsoft.com/office/drawing/2014/main" id="{3D4213DE-4675-4710-A260-7B6BB4BA4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14</xdr:col>
      <xdr:colOff>579120</xdr:colOff>
      <xdr:row>20</xdr:row>
      <xdr:rowOff>114301</xdr:rowOff>
    </xdr:from>
    <xdr:to>
      <xdr:col>18</xdr:col>
      <xdr:colOff>106680</xdr:colOff>
      <xdr:row>30</xdr:row>
      <xdr:rowOff>83821</xdr:rowOff>
    </xdr:to>
    <mc:AlternateContent xmlns:mc="http://schemas.openxmlformats.org/markup-compatibility/2006">
      <mc:Choice xmlns:a14="http://schemas.microsoft.com/office/drawing/2010/main" Requires="a14">
        <xdr:graphicFrame macro="">
          <xdr:nvGraphicFramePr>
            <xdr:cNvPr id="56" name="price 1">
              <a:extLst>
                <a:ext uri="{FF2B5EF4-FFF2-40B4-BE49-F238E27FC236}">
                  <a16:creationId xmlns:a16="http://schemas.microsoft.com/office/drawing/2014/main" id="{15143B58-A7C2-4DD1-822F-7B97F2972C1B}"/>
                </a:ext>
              </a:extLst>
            </xdr:cNvPr>
            <xdr:cNvGraphicFramePr/>
          </xdr:nvGraphicFramePr>
          <xdr:xfrm>
            <a:off x="0" y="0"/>
            <a:ext cx="0" cy="0"/>
          </xdr:xfrm>
          <a:graphic>
            <a:graphicData uri="http://schemas.microsoft.com/office/drawing/2010/slicer">
              <sle:slicer xmlns:sle="http://schemas.microsoft.com/office/drawing/2010/slicer" name="price 1"/>
            </a:graphicData>
          </a:graphic>
        </xdr:graphicFrame>
      </mc:Choice>
      <mc:Fallback>
        <xdr:sp macro="" textlink="">
          <xdr:nvSpPr>
            <xdr:cNvPr id="0" name=""/>
            <xdr:cNvSpPr>
              <a:spLocks noTextEdit="1"/>
            </xdr:cNvSpPr>
          </xdr:nvSpPr>
          <xdr:spPr>
            <a:xfrm>
              <a:off x="9113520" y="3771901"/>
              <a:ext cx="1965960" cy="1798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213360</xdr:colOff>
      <xdr:row>20</xdr:row>
      <xdr:rowOff>106681</xdr:rowOff>
    </xdr:from>
    <xdr:to>
      <xdr:col>21</xdr:col>
      <xdr:colOff>365760</xdr:colOff>
      <xdr:row>30</xdr:row>
      <xdr:rowOff>91440</xdr:rowOff>
    </xdr:to>
    <mc:AlternateContent xmlns:mc="http://schemas.openxmlformats.org/markup-compatibility/2006">
      <mc:Choice xmlns:a14="http://schemas.microsoft.com/office/drawing/2010/main" Requires="a14">
        <xdr:graphicFrame macro="">
          <xdr:nvGraphicFramePr>
            <xdr:cNvPr id="57" name="brand_name 1">
              <a:extLst>
                <a:ext uri="{FF2B5EF4-FFF2-40B4-BE49-F238E27FC236}">
                  <a16:creationId xmlns:a16="http://schemas.microsoft.com/office/drawing/2014/main" id="{310A5C0C-643A-4CA3-88DC-4339BF16A774}"/>
                </a:ext>
              </a:extLst>
            </xdr:cNvPr>
            <xdr:cNvGraphicFramePr/>
          </xdr:nvGraphicFramePr>
          <xdr:xfrm>
            <a:off x="0" y="0"/>
            <a:ext cx="0" cy="0"/>
          </xdr:xfrm>
          <a:graphic>
            <a:graphicData uri="http://schemas.microsoft.com/office/drawing/2010/slicer">
              <sle:slicer xmlns:sle="http://schemas.microsoft.com/office/drawing/2010/slicer" name="brand_name 1"/>
            </a:graphicData>
          </a:graphic>
        </xdr:graphicFrame>
      </mc:Choice>
      <mc:Fallback>
        <xdr:sp macro="" textlink="">
          <xdr:nvSpPr>
            <xdr:cNvPr id="0" name=""/>
            <xdr:cNvSpPr>
              <a:spLocks noTextEdit="1"/>
            </xdr:cNvSpPr>
          </xdr:nvSpPr>
          <xdr:spPr>
            <a:xfrm>
              <a:off x="11186160" y="3764281"/>
              <a:ext cx="1981200" cy="181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46.672711921296" createdVersion="8" refreshedVersion="8" minRefreshableVersion="3" recordCount="49" xr:uid="{20BA5B3C-098E-4094-ADDE-7076F2CEDBCE}">
  <cacheSource type="worksheet">
    <worksheetSource name="Table1"/>
  </cacheSource>
  <cacheFields count="7">
    <cacheField name="brand_name" numFmtId="0">
      <sharedItems count="17">
        <s v="WROGN"/>
        <s v="Flying Machine"/>
        <s v="Roadster"/>
        <s v="Bene Kleed"/>
        <s v="Levis"/>
        <s v="HERE&amp;NOW"/>
        <s v="Urbano Fashion"/>
        <s v="styzon"/>
        <s v="Calvin Klein Jeans"/>
        <s v="HIGHLANDER"/>
        <s v="Kotty"/>
        <s v="Mast &amp; Harbour"/>
        <s v="Mufti"/>
        <s v="FUGAZEE"/>
        <s v="The Indian Garage Co"/>
        <s v="French Connection"/>
        <s v="glitchez"/>
      </sharedItems>
    </cacheField>
    <cacheField name="pants_description" numFmtId="0">
      <sharedItems count="28">
        <s v="Men Loose Fit Cotton Jeans"/>
        <s v="Men Slim Fit Jeans"/>
        <s v="Men Pure Cotton Jeans"/>
        <s v="Relaxed Fit Denim Jeans"/>
        <s v="Men 511 Slim Fit Jeans"/>
        <s v="Men Stretchable Jeans"/>
        <s v="Men Relaxed Fit Jeans"/>
        <s v="Men Anti Fit Jeans"/>
        <s v="Men Wide Leg Heavy Fade Jeans"/>
        <s v="Men Regular Fit Mid-Rise Jeans"/>
        <s v="Men Bootcut Jeans"/>
        <s v="Men Wide Leg Jeans"/>
        <s v="Slim Fit Stretchable Jeans"/>
        <s v="Men Jogger Mid-Rise Jeans"/>
        <s v="Cotton Ecru Straight Fit Jeans"/>
        <s v="Men Slim Fit Stretchable Jeans"/>
        <s v="Men Relaxed Fit Mid-Rise Jeans"/>
        <s v="Men Mid-Rise Boot Cut Jeans"/>
        <s v="Men Pure Cotton Loose Jeans"/>
        <s v="Men Low-Rise Jeans"/>
        <s v="Men Straight Fit Jeans"/>
        <s v="Men Low-Rise Cargo  Jeans"/>
        <s v="Men Mid-Rise Skinny Fit Jeans"/>
        <s v="Men Slim Fit Mid-Rise Jeans"/>
        <s v="Men Black Faded Casual Jeans"/>
        <s v="Men Slim Tapered Fit Jeans"/>
        <s v="Men Pure Cotton Skater Jeans"/>
        <s v="Men Super Skinny Fit Jeans"/>
      </sharedItems>
    </cacheField>
    <cacheField name="price" numFmtId="0">
      <sharedItems containsSemiMixedTypes="0" containsString="0" containsNumber="1" containsInteger="1" minValue="519" maxValue="2309" count="42">
        <n v="1374"/>
        <n v="1829"/>
        <n v="974"/>
        <n v="873"/>
        <n v="1478"/>
        <n v="798"/>
        <n v="944"/>
        <n v="1623"/>
        <n v="839"/>
        <n v="759"/>
        <n v="857"/>
        <n v="899"/>
        <n v="949"/>
        <n v="989"/>
        <n v="850"/>
        <n v="1275"/>
        <n v="769"/>
        <n v="2309"/>
        <n v="1449"/>
        <n v="1034"/>
        <n v="2079"/>
        <n v="519"/>
        <n v="1549"/>
        <n v="999"/>
        <n v="719"/>
        <n v="1399"/>
        <n v="869"/>
        <n v="639"/>
        <n v="1393"/>
        <n v="758"/>
        <n v="629"/>
        <n v="2099"/>
        <n v="659"/>
        <n v="774"/>
        <n v="1294"/>
        <n v="764"/>
        <n v="681"/>
        <n v="1553"/>
        <n v="701"/>
        <n v="688"/>
        <n v="808"/>
        <n v="797"/>
      </sharedItems>
    </cacheField>
    <cacheField name="MRP" numFmtId="0">
      <sharedItems containsSemiMixedTypes="0" containsString="0" containsNumber="1" containsInteger="1" minValue="1399" maxValue="4199"/>
    </cacheField>
    <cacheField name="discount_percent" numFmtId="0">
      <sharedItems containsSemiMixedTypes="0" containsString="0" containsNumber="1" minValue="0.34" maxValue="21.3"/>
    </cacheField>
    <cacheField name="ratings" numFmtId="0">
      <sharedItems containsSemiMixedTypes="0" containsString="0" containsNumber="1" minValue="3.4" maxValue="4.5999999999999996"/>
    </cacheField>
    <cacheField name="number_of_ratings" numFmtId="0">
      <sharedItems containsSemiMixedTypes="0" containsString="0" containsNumber="1" containsInteger="1" minValue="5" maxValue="22300"/>
    </cacheField>
  </cacheFields>
  <extLst>
    <ext xmlns:x14="http://schemas.microsoft.com/office/spreadsheetml/2009/9/main" uri="{725AE2AE-9491-48be-B2B4-4EB974FC3084}">
      <x14:pivotCacheDefinition pivotCacheId="2086267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x v="0"/>
    <n v="2499"/>
    <n v="0.45"/>
    <n v="4.2"/>
    <n v="57"/>
  </r>
  <r>
    <x v="1"/>
    <x v="1"/>
    <x v="1"/>
    <n v="2999"/>
    <n v="0.39"/>
    <n v="4.5999999999999996"/>
    <n v="5"/>
  </r>
  <r>
    <x v="2"/>
    <x v="2"/>
    <x v="2"/>
    <n v="2499"/>
    <n v="0.61"/>
    <n v="3.6"/>
    <n v="1100"/>
  </r>
  <r>
    <x v="3"/>
    <x v="3"/>
    <x v="3"/>
    <n v="2299"/>
    <n v="0.62"/>
    <n v="4"/>
    <n v="4800"/>
  </r>
  <r>
    <x v="4"/>
    <x v="4"/>
    <x v="4"/>
    <n v="2899"/>
    <n v="0.49"/>
    <n v="4.3"/>
    <n v="264"/>
  </r>
  <r>
    <x v="5"/>
    <x v="5"/>
    <x v="5"/>
    <n v="1699"/>
    <n v="0.53"/>
    <n v="4"/>
    <n v="33"/>
  </r>
  <r>
    <x v="6"/>
    <x v="6"/>
    <x v="6"/>
    <n v="2099"/>
    <n v="0.55000000000000004"/>
    <n v="4"/>
    <n v="4200"/>
  </r>
  <r>
    <x v="0"/>
    <x v="7"/>
    <x v="7"/>
    <n v="2799"/>
    <n v="0.42"/>
    <n v="4.2"/>
    <n v="42"/>
  </r>
  <r>
    <x v="3"/>
    <x v="8"/>
    <x v="8"/>
    <n v="2799"/>
    <n v="0.7"/>
    <n v="3.6"/>
    <n v="114"/>
  </r>
  <r>
    <x v="3"/>
    <x v="3"/>
    <x v="3"/>
    <n v="2299"/>
    <n v="0.62"/>
    <n v="4.0999999999999996"/>
    <n v="5200"/>
  </r>
  <r>
    <x v="2"/>
    <x v="9"/>
    <x v="9"/>
    <n v="1899"/>
    <n v="0.6"/>
    <n v="4"/>
    <n v="63"/>
  </r>
  <r>
    <x v="3"/>
    <x v="10"/>
    <x v="3"/>
    <n v="2299"/>
    <n v="0.62"/>
    <n v="4"/>
    <n v="757"/>
  </r>
  <r>
    <x v="3"/>
    <x v="11"/>
    <x v="10"/>
    <n v="2599"/>
    <n v="0.67"/>
    <n v="3.6"/>
    <n v="152"/>
  </r>
  <r>
    <x v="1"/>
    <x v="12"/>
    <x v="1"/>
    <n v="2999"/>
    <n v="0.39"/>
    <n v="3.6"/>
    <n v="152"/>
  </r>
  <r>
    <x v="7"/>
    <x v="13"/>
    <x v="11"/>
    <n v="3599"/>
    <n v="0.75"/>
    <n v="4.0999999999999996"/>
    <n v="64"/>
  </r>
  <r>
    <x v="2"/>
    <x v="14"/>
    <x v="12"/>
    <n v="2499"/>
    <n v="0.62"/>
    <n v="3.8"/>
    <n v="80"/>
  </r>
  <r>
    <x v="8"/>
    <x v="1"/>
    <x v="12"/>
    <n v="2499"/>
    <n v="0.62"/>
    <n v="3.8"/>
    <n v="80"/>
  </r>
  <r>
    <x v="7"/>
    <x v="6"/>
    <x v="13"/>
    <n v="1799"/>
    <n v="0.45"/>
    <n v="3.9"/>
    <n v="42"/>
  </r>
  <r>
    <x v="3"/>
    <x v="10"/>
    <x v="14"/>
    <n v="2299"/>
    <n v="0.63"/>
    <n v="3.9"/>
    <n v="1000"/>
  </r>
  <r>
    <x v="0"/>
    <x v="15"/>
    <x v="15"/>
    <n v="2199"/>
    <n v="0.42"/>
    <n v="4.2"/>
    <n v="130"/>
  </r>
  <r>
    <x v="9"/>
    <x v="16"/>
    <x v="16"/>
    <n v="2749"/>
    <n v="0.72"/>
    <n v="3.6"/>
    <n v="432"/>
  </r>
  <r>
    <x v="3"/>
    <x v="17"/>
    <x v="3"/>
    <n v="2299"/>
    <n v="0.62"/>
    <n v="4"/>
    <n v="591"/>
  </r>
  <r>
    <x v="1"/>
    <x v="6"/>
    <x v="17"/>
    <n v="3499"/>
    <n v="0.34"/>
    <n v="4"/>
    <n v="591"/>
  </r>
  <r>
    <x v="0"/>
    <x v="18"/>
    <x v="18"/>
    <n v="2499"/>
    <n v="0.42"/>
    <n v="3.9"/>
    <n v="111"/>
  </r>
  <r>
    <x v="6"/>
    <x v="6"/>
    <x v="19"/>
    <n v="2299"/>
    <n v="0.55000000000000004"/>
    <n v="3.6"/>
    <n v="618"/>
  </r>
  <r>
    <x v="4"/>
    <x v="4"/>
    <x v="20"/>
    <n v="3999"/>
    <n v="0.48"/>
    <n v="3.9"/>
    <n v="31"/>
  </r>
  <r>
    <x v="10"/>
    <x v="19"/>
    <x v="21"/>
    <n v="1999"/>
    <n v="0.74"/>
    <n v="3.7"/>
    <n v="1500"/>
  </r>
  <r>
    <x v="3"/>
    <x v="6"/>
    <x v="3"/>
    <n v="2299"/>
    <n v="0.62"/>
    <n v="4.0999999999999996"/>
    <n v="4200"/>
  </r>
  <r>
    <x v="1"/>
    <x v="1"/>
    <x v="22"/>
    <n v="2499"/>
    <n v="0.38"/>
    <n v="4.0999999999999996"/>
    <n v="4200"/>
  </r>
  <r>
    <x v="2"/>
    <x v="11"/>
    <x v="23"/>
    <n v="2499"/>
    <n v="0.6"/>
    <n v="3.4"/>
    <n v="53"/>
  </r>
  <r>
    <x v="10"/>
    <x v="20"/>
    <x v="24"/>
    <n v="1999"/>
    <n v="0.64"/>
    <n v="3.8"/>
    <n v="61"/>
  </r>
  <r>
    <x v="0"/>
    <x v="7"/>
    <x v="25"/>
    <n v="2799"/>
    <n v="0.5"/>
    <n v="4.0999999999999996"/>
    <n v="25"/>
  </r>
  <r>
    <x v="11"/>
    <x v="10"/>
    <x v="26"/>
    <n v="2999"/>
    <n v="21.3"/>
    <n v="4.0999999999999996"/>
    <n v="211"/>
  </r>
  <r>
    <x v="10"/>
    <x v="21"/>
    <x v="27"/>
    <n v="1999"/>
    <n v="0.68"/>
    <n v="4.2"/>
    <n v="2000"/>
  </r>
  <r>
    <x v="12"/>
    <x v="22"/>
    <x v="28"/>
    <n v="3399"/>
    <n v="0.59"/>
    <n v="3.8"/>
    <n v="16"/>
  </r>
  <r>
    <x v="11"/>
    <x v="5"/>
    <x v="29"/>
    <n v="2299"/>
    <n v="0.67"/>
    <n v="3.4"/>
    <n v="441"/>
  </r>
  <r>
    <x v="6"/>
    <x v="1"/>
    <x v="30"/>
    <n v="1399"/>
    <n v="0.55000000000000004"/>
    <n v="4"/>
    <n v="22300"/>
  </r>
  <r>
    <x v="13"/>
    <x v="6"/>
    <x v="31"/>
    <n v="3499"/>
    <n v="0.4"/>
    <n v="3.7"/>
    <n v="124"/>
  </r>
  <r>
    <x v="14"/>
    <x v="23"/>
    <x v="32"/>
    <n v="1999"/>
    <n v="0.67"/>
    <n v="4"/>
    <n v="1600"/>
  </r>
  <r>
    <x v="2"/>
    <x v="24"/>
    <x v="33"/>
    <n v="2499"/>
    <n v="0.69"/>
    <n v="3.5"/>
    <n v="868"/>
  </r>
  <r>
    <x v="15"/>
    <x v="1"/>
    <x v="34"/>
    <n v="3499"/>
    <n v="0.63"/>
    <n v="4.4000000000000004"/>
    <n v="17"/>
  </r>
  <r>
    <x v="11"/>
    <x v="20"/>
    <x v="35"/>
    <n v="1699"/>
    <n v="0.55000000000000004"/>
    <n v="3.5"/>
    <n v="38"/>
  </r>
  <r>
    <x v="2"/>
    <x v="1"/>
    <x v="36"/>
    <n v="2199"/>
    <n v="0.69"/>
    <n v="3.8"/>
    <n v="185"/>
  </r>
  <r>
    <x v="12"/>
    <x v="1"/>
    <x v="37"/>
    <n v="4199"/>
    <n v="0.63"/>
    <n v="3.8"/>
    <n v="22"/>
  </r>
  <r>
    <x v="11"/>
    <x v="25"/>
    <x v="38"/>
    <n v="2599"/>
    <n v="0.73"/>
    <n v="3.8"/>
    <n v="314"/>
  </r>
  <r>
    <x v="14"/>
    <x v="26"/>
    <x v="39"/>
    <n v="2549"/>
    <n v="0.73"/>
    <n v="3.7"/>
    <n v="35"/>
  </r>
  <r>
    <x v="12"/>
    <x v="27"/>
    <x v="28"/>
    <n v="3399"/>
    <n v="0.59"/>
    <n v="3.7"/>
    <n v="35"/>
  </r>
  <r>
    <x v="14"/>
    <x v="6"/>
    <x v="40"/>
    <n v="2449"/>
    <n v="0.67"/>
    <n v="3.5"/>
    <n v="589"/>
  </r>
  <r>
    <x v="16"/>
    <x v="20"/>
    <x v="41"/>
    <n v="1399"/>
    <n v="0.43"/>
    <n v="4"/>
    <n v="2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A7B03C-3EA1-4113-8F55-C2AA4EA6256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1:N30" firstHeaderRow="1" firstDataRow="1" firstDataCol="1"/>
  <pivotFields count="7">
    <pivotField showAll="0">
      <items count="18">
        <item x="3"/>
        <item x="8"/>
        <item x="1"/>
        <item x="15"/>
        <item x="13"/>
        <item x="16"/>
        <item x="5"/>
        <item x="9"/>
        <item x="10"/>
        <item x="4"/>
        <item x="11"/>
        <item x="12"/>
        <item x="2"/>
        <item x="7"/>
        <item x="14"/>
        <item x="6"/>
        <item x="0"/>
        <item t="default"/>
      </items>
    </pivotField>
    <pivotField axis="axisRow" showAll="0">
      <items count="29">
        <item x="14"/>
        <item x="4"/>
        <item x="7"/>
        <item x="24"/>
        <item x="10"/>
        <item x="13"/>
        <item x="0"/>
        <item x="21"/>
        <item x="19"/>
        <item x="17"/>
        <item x="22"/>
        <item x="2"/>
        <item x="18"/>
        <item x="26"/>
        <item x="9"/>
        <item x="6"/>
        <item x="16"/>
        <item x="1"/>
        <item x="23"/>
        <item x="15"/>
        <item x="25"/>
        <item x="20"/>
        <item x="5"/>
        <item x="27"/>
        <item x="8"/>
        <item x="11"/>
        <item x="3"/>
        <item x="12"/>
        <item t="default"/>
      </items>
    </pivotField>
    <pivotField showAll="0">
      <items count="43">
        <item x="21"/>
        <item x="30"/>
        <item x="27"/>
        <item x="32"/>
        <item x="36"/>
        <item x="39"/>
        <item x="38"/>
        <item x="24"/>
        <item x="29"/>
        <item x="9"/>
        <item x="35"/>
        <item x="16"/>
        <item x="33"/>
        <item x="41"/>
        <item x="5"/>
        <item x="40"/>
        <item x="8"/>
        <item x="14"/>
        <item x="10"/>
        <item x="26"/>
        <item x="3"/>
        <item x="11"/>
        <item x="6"/>
        <item x="12"/>
        <item x="2"/>
        <item x="13"/>
        <item x="23"/>
        <item x="19"/>
        <item x="15"/>
        <item x="34"/>
        <item x="0"/>
        <item x="28"/>
        <item x="25"/>
        <item x="18"/>
        <item x="4"/>
        <item x="22"/>
        <item x="37"/>
        <item x="7"/>
        <item x="1"/>
        <item x="20"/>
        <item x="31"/>
        <item x="17"/>
        <item t="default"/>
      </items>
    </pivotField>
    <pivotField showAll="0"/>
    <pivotField dataField="1" showAll="0"/>
    <pivotField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discount_percent" fld="4" baseField="0" baseItem="0"/>
  </dataField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DBF2A2-A3D1-4477-938D-A23F24C5DFBA}"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K19" firstHeaderRow="1" firstDataRow="1" firstDataCol="1"/>
  <pivotFields count="7">
    <pivotField axis="axisRow" showAll="0">
      <items count="18">
        <item x="3"/>
        <item x="8"/>
        <item x="1"/>
        <item x="15"/>
        <item x="13"/>
        <item x="16"/>
        <item x="5"/>
        <item x="9"/>
        <item x="10"/>
        <item x="4"/>
        <item x="11"/>
        <item x="12"/>
        <item x="2"/>
        <item x="7"/>
        <item x="14"/>
        <item x="6"/>
        <item x="0"/>
        <item t="default"/>
      </items>
    </pivotField>
    <pivotField showAll="0"/>
    <pivotField showAll="0">
      <items count="43">
        <item x="21"/>
        <item x="30"/>
        <item x="27"/>
        <item x="32"/>
        <item x="36"/>
        <item x="39"/>
        <item x="38"/>
        <item x="24"/>
        <item x="29"/>
        <item x="9"/>
        <item x="35"/>
        <item x="16"/>
        <item x="33"/>
        <item x="41"/>
        <item x="5"/>
        <item x="40"/>
        <item x="8"/>
        <item x="14"/>
        <item x="10"/>
        <item x="26"/>
        <item x="3"/>
        <item x="11"/>
        <item x="6"/>
        <item x="12"/>
        <item x="2"/>
        <item x="13"/>
        <item x="23"/>
        <item x="19"/>
        <item x="15"/>
        <item x="34"/>
        <item x="0"/>
        <item x="28"/>
        <item x="25"/>
        <item x="18"/>
        <item x="4"/>
        <item x="22"/>
        <item x="37"/>
        <item x="7"/>
        <item x="1"/>
        <item x="20"/>
        <item x="31"/>
        <item x="17"/>
        <item t="default"/>
      </items>
    </pivotField>
    <pivotField dataField="1"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MRP" fld="3" baseField="0" baseItem="0"/>
  </dataFields>
  <chartFormats count="19">
    <chartFormat chart="3" format="0" series="1">
      <pivotArea type="data" outline="0" fieldPosition="0">
        <references count="1">
          <reference field="4294967294" count="1" selected="0">
            <x v="0"/>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0" count="1" selected="0">
            <x v="0"/>
          </reference>
        </references>
      </pivotArea>
    </chartFormat>
    <chartFormat chart="11" format="21">
      <pivotArea type="data" outline="0" fieldPosition="0">
        <references count="2">
          <reference field="4294967294" count="1" selected="0">
            <x v="0"/>
          </reference>
          <reference field="0" count="1" selected="0">
            <x v="1"/>
          </reference>
        </references>
      </pivotArea>
    </chartFormat>
    <chartFormat chart="11" format="22">
      <pivotArea type="data" outline="0" fieldPosition="0">
        <references count="2">
          <reference field="4294967294" count="1" selected="0">
            <x v="0"/>
          </reference>
          <reference field="0" count="1" selected="0">
            <x v="2"/>
          </reference>
        </references>
      </pivotArea>
    </chartFormat>
    <chartFormat chart="11" format="23">
      <pivotArea type="data" outline="0" fieldPosition="0">
        <references count="2">
          <reference field="4294967294" count="1" selected="0">
            <x v="0"/>
          </reference>
          <reference field="0" count="1" selected="0">
            <x v="3"/>
          </reference>
        </references>
      </pivotArea>
    </chartFormat>
    <chartFormat chart="11" format="24">
      <pivotArea type="data" outline="0" fieldPosition="0">
        <references count="2">
          <reference field="4294967294" count="1" selected="0">
            <x v="0"/>
          </reference>
          <reference field="0" count="1" selected="0">
            <x v="4"/>
          </reference>
        </references>
      </pivotArea>
    </chartFormat>
    <chartFormat chart="11" format="25">
      <pivotArea type="data" outline="0" fieldPosition="0">
        <references count="2">
          <reference field="4294967294" count="1" selected="0">
            <x v="0"/>
          </reference>
          <reference field="0" count="1" selected="0">
            <x v="5"/>
          </reference>
        </references>
      </pivotArea>
    </chartFormat>
    <chartFormat chart="11" format="26">
      <pivotArea type="data" outline="0" fieldPosition="0">
        <references count="2">
          <reference field="4294967294" count="1" selected="0">
            <x v="0"/>
          </reference>
          <reference field="0" count="1" selected="0">
            <x v="6"/>
          </reference>
        </references>
      </pivotArea>
    </chartFormat>
    <chartFormat chart="11" format="27">
      <pivotArea type="data" outline="0" fieldPosition="0">
        <references count="2">
          <reference field="4294967294" count="1" selected="0">
            <x v="0"/>
          </reference>
          <reference field="0" count="1" selected="0">
            <x v="7"/>
          </reference>
        </references>
      </pivotArea>
    </chartFormat>
    <chartFormat chart="11" format="28">
      <pivotArea type="data" outline="0" fieldPosition="0">
        <references count="2">
          <reference field="4294967294" count="1" selected="0">
            <x v="0"/>
          </reference>
          <reference field="0" count="1" selected="0">
            <x v="8"/>
          </reference>
        </references>
      </pivotArea>
    </chartFormat>
    <chartFormat chart="11" format="29">
      <pivotArea type="data" outline="0" fieldPosition="0">
        <references count="2">
          <reference field="4294967294" count="1" selected="0">
            <x v="0"/>
          </reference>
          <reference field="0" count="1" selected="0">
            <x v="9"/>
          </reference>
        </references>
      </pivotArea>
    </chartFormat>
    <chartFormat chart="11" format="30">
      <pivotArea type="data" outline="0" fieldPosition="0">
        <references count="2">
          <reference field="4294967294" count="1" selected="0">
            <x v="0"/>
          </reference>
          <reference field="0" count="1" selected="0">
            <x v="10"/>
          </reference>
        </references>
      </pivotArea>
    </chartFormat>
    <chartFormat chart="11" format="31">
      <pivotArea type="data" outline="0" fieldPosition="0">
        <references count="2">
          <reference field="4294967294" count="1" selected="0">
            <x v="0"/>
          </reference>
          <reference field="0" count="1" selected="0">
            <x v="11"/>
          </reference>
        </references>
      </pivotArea>
    </chartFormat>
    <chartFormat chart="11" format="32">
      <pivotArea type="data" outline="0" fieldPosition="0">
        <references count="2">
          <reference field="4294967294" count="1" selected="0">
            <x v="0"/>
          </reference>
          <reference field="0" count="1" selected="0">
            <x v="12"/>
          </reference>
        </references>
      </pivotArea>
    </chartFormat>
    <chartFormat chart="11" format="33">
      <pivotArea type="data" outline="0" fieldPosition="0">
        <references count="2">
          <reference field="4294967294" count="1" selected="0">
            <x v="0"/>
          </reference>
          <reference field="0" count="1" selected="0">
            <x v="13"/>
          </reference>
        </references>
      </pivotArea>
    </chartFormat>
    <chartFormat chart="11" format="34">
      <pivotArea type="data" outline="0" fieldPosition="0">
        <references count="2">
          <reference field="4294967294" count="1" selected="0">
            <x v="0"/>
          </reference>
          <reference field="0" count="1" selected="0">
            <x v="14"/>
          </reference>
        </references>
      </pivotArea>
    </chartFormat>
    <chartFormat chart="11" format="35">
      <pivotArea type="data" outline="0" fieldPosition="0">
        <references count="2">
          <reference field="4294967294" count="1" selected="0">
            <x v="0"/>
          </reference>
          <reference field="0" count="1" selected="0">
            <x v="15"/>
          </reference>
        </references>
      </pivotArea>
    </chartFormat>
    <chartFormat chart="11" format="36">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AD295C-18C2-4203-8BEF-3568C3CB030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H30" firstHeaderRow="1" firstDataRow="1" firstDataCol="1"/>
  <pivotFields count="7">
    <pivotField showAll="0">
      <items count="18">
        <item x="3"/>
        <item x="8"/>
        <item x="1"/>
        <item x="15"/>
        <item x="13"/>
        <item x="16"/>
        <item x="5"/>
        <item x="9"/>
        <item x="10"/>
        <item x="4"/>
        <item x="11"/>
        <item x="12"/>
        <item x="2"/>
        <item x="7"/>
        <item x="14"/>
        <item x="6"/>
        <item x="0"/>
        <item t="default"/>
      </items>
    </pivotField>
    <pivotField axis="axisRow" showAll="0">
      <items count="29">
        <item x="14"/>
        <item x="4"/>
        <item x="7"/>
        <item x="24"/>
        <item x="10"/>
        <item x="13"/>
        <item x="0"/>
        <item x="21"/>
        <item x="19"/>
        <item x="17"/>
        <item x="22"/>
        <item x="2"/>
        <item x="18"/>
        <item x="26"/>
        <item x="9"/>
        <item x="6"/>
        <item x="16"/>
        <item x="1"/>
        <item x="23"/>
        <item x="15"/>
        <item x="25"/>
        <item x="20"/>
        <item x="5"/>
        <item x="27"/>
        <item x="8"/>
        <item x="11"/>
        <item x="3"/>
        <item x="12"/>
        <item t="default"/>
      </items>
    </pivotField>
    <pivotField showAll="0">
      <items count="43">
        <item x="21"/>
        <item x="30"/>
        <item x="27"/>
        <item x="32"/>
        <item x="36"/>
        <item x="39"/>
        <item x="38"/>
        <item x="24"/>
        <item x="29"/>
        <item x="9"/>
        <item x="35"/>
        <item x="16"/>
        <item x="33"/>
        <item x="41"/>
        <item x="5"/>
        <item x="40"/>
        <item x="8"/>
        <item x="14"/>
        <item x="10"/>
        <item x="26"/>
        <item x="3"/>
        <item x="11"/>
        <item x="6"/>
        <item x="12"/>
        <item x="2"/>
        <item x="13"/>
        <item x="23"/>
        <item x="19"/>
        <item x="15"/>
        <item x="34"/>
        <item x="0"/>
        <item x="28"/>
        <item x="25"/>
        <item x="18"/>
        <item x="4"/>
        <item x="22"/>
        <item x="37"/>
        <item x="7"/>
        <item x="1"/>
        <item x="20"/>
        <item x="31"/>
        <item x="17"/>
        <item t="default"/>
      </items>
    </pivotField>
    <pivotField showAll="0"/>
    <pivotField showAll="0"/>
    <pivotField dataField="1" showAll="0"/>
    <pivotField showAll="0"/>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ratings" fld="5"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93E90F-3383-4818-B47A-BF26A3FFFF09}"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19" firstHeaderRow="1" firstDataRow="1" firstDataCol="1"/>
  <pivotFields count="7">
    <pivotField axis="axisRow" showAll="0">
      <items count="18">
        <item x="3"/>
        <item x="8"/>
        <item x="1"/>
        <item x="15"/>
        <item x="13"/>
        <item x="16"/>
        <item x="5"/>
        <item x="9"/>
        <item x="10"/>
        <item x="4"/>
        <item x="11"/>
        <item x="12"/>
        <item x="2"/>
        <item x="7"/>
        <item x="14"/>
        <item x="6"/>
        <item x="0"/>
        <item t="default"/>
      </items>
    </pivotField>
    <pivotField showAll="0"/>
    <pivotField showAll="0">
      <items count="43">
        <item x="21"/>
        <item x="30"/>
        <item x="27"/>
        <item x="32"/>
        <item x="36"/>
        <item x="39"/>
        <item x="38"/>
        <item x="24"/>
        <item x="29"/>
        <item x="9"/>
        <item x="35"/>
        <item x="16"/>
        <item x="33"/>
        <item x="41"/>
        <item x="5"/>
        <item x="40"/>
        <item x="8"/>
        <item x="14"/>
        <item x="10"/>
        <item x="26"/>
        <item x="3"/>
        <item x="11"/>
        <item x="6"/>
        <item x="12"/>
        <item x="2"/>
        <item x="13"/>
        <item x="23"/>
        <item x="19"/>
        <item x="15"/>
        <item x="34"/>
        <item x="0"/>
        <item x="28"/>
        <item x="25"/>
        <item x="18"/>
        <item x="4"/>
        <item x="22"/>
        <item x="37"/>
        <item x="7"/>
        <item x="1"/>
        <item x="20"/>
        <item x="31"/>
        <item x="17"/>
        <item t="default"/>
      </items>
    </pivotField>
    <pivotField showAll="0"/>
    <pivotField dataField="1"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discount_percent" fld="4"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0F9B5C-F9B8-4FFC-B4DC-8BF276499A5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9" firstHeaderRow="1" firstDataRow="1" firstDataCol="1"/>
  <pivotFields count="7">
    <pivotField axis="axisRow" showAll="0">
      <items count="18">
        <item x="3"/>
        <item x="8"/>
        <item x="1"/>
        <item x="15"/>
        <item x="13"/>
        <item x="16"/>
        <item x="5"/>
        <item x="9"/>
        <item x="10"/>
        <item x="4"/>
        <item x="11"/>
        <item x="12"/>
        <item x="2"/>
        <item x="7"/>
        <item x="14"/>
        <item x="6"/>
        <item x="0"/>
        <item t="default"/>
      </items>
    </pivotField>
    <pivotField showAll="0"/>
    <pivotField dataField="1" showAll="0">
      <items count="43">
        <item x="21"/>
        <item x="30"/>
        <item x="27"/>
        <item x="32"/>
        <item x="36"/>
        <item x="39"/>
        <item x="38"/>
        <item x="24"/>
        <item x="29"/>
        <item x="9"/>
        <item x="35"/>
        <item x="16"/>
        <item x="33"/>
        <item x="41"/>
        <item x="5"/>
        <item x="40"/>
        <item x="8"/>
        <item x="14"/>
        <item x="10"/>
        <item x="26"/>
        <item x="3"/>
        <item x="11"/>
        <item x="6"/>
        <item x="12"/>
        <item x="2"/>
        <item x="13"/>
        <item x="23"/>
        <item x="19"/>
        <item x="15"/>
        <item x="34"/>
        <item x="0"/>
        <item x="28"/>
        <item x="25"/>
        <item x="18"/>
        <item x="4"/>
        <item x="22"/>
        <item x="37"/>
        <item x="7"/>
        <item x="1"/>
        <item x="20"/>
        <item x="31"/>
        <item x="17"/>
        <item t="default"/>
      </items>
    </pivotField>
    <pivotField showAll="0"/>
    <pivotField showAll="0"/>
    <pivotField showAll="0"/>
    <pivotField showAl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price" fld="2" baseField="0" baseItem="0"/>
  </dataFields>
  <chartFormats count="2">
    <chartFormat chart="7"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F22BF7B1-1254-46CE-9CF3-8D086757AFE6}" sourceName="brand_name">
  <pivotTables>
    <pivotTable tabId="2" name="PivotTable5"/>
    <pivotTable tabId="2" name="PivotTable1"/>
    <pivotTable tabId="2" name="PivotTable2"/>
    <pivotTable tabId="2" name="PivotTable3"/>
    <pivotTable tabId="2" name="PivotTable4"/>
  </pivotTables>
  <data>
    <tabular pivotCacheId="2086267607">
      <items count="17">
        <i x="3" s="1"/>
        <i x="8" s="1"/>
        <i x="1" s="1"/>
        <i x="15" s="1"/>
        <i x="13" s="1"/>
        <i x="16" s="1"/>
        <i x="5" s="1"/>
        <i x="9" s="1"/>
        <i x="10" s="1"/>
        <i x="4" s="1"/>
        <i x="11" s="1"/>
        <i x="12" s="1"/>
        <i x="2" s="1"/>
        <i x="7" s="1"/>
        <i x="14"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711AF95F-E4CF-46BF-9E93-0D337B23966E}" sourceName="price">
  <pivotTables>
    <pivotTable tabId="2" name="PivotTable5"/>
    <pivotTable tabId="2" name="PivotTable1"/>
    <pivotTable tabId="2" name="PivotTable2"/>
    <pivotTable tabId="2" name="PivotTable3"/>
    <pivotTable tabId="2" name="PivotTable4"/>
  </pivotTables>
  <data>
    <tabular pivotCacheId="2086267607">
      <items count="42">
        <i x="21" s="1"/>
        <i x="30" s="1"/>
        <i x="27" s="1"/>
        <i x="32" s="1"/>
        <i x="36" s="1"/>
        <i x="39" s="1"/>
        <i x="38" s="1"/>
        <i x="24" s="1"/>
        <i x="29" s="1"/>
        <i x="9" s="1"/>
        <i x="35" s="1"/>
        <i x="16" s="1"/>
        <i x="33" s="1"/>
        <i x="41" s="1"/>
        <i x="5" s="1"/>
        <i x="40" s="1"/>
        <i x="8" s="1"/>
        <i x="14" s="1"/>
        <i x="10" s="1"/>
        <i x="26" s="1"/>
        <i x="3" s="1"/>
        <i x="11" s="1"/>
        <i x="6" s="1"/>
        <i x="12" s="1"/>
        <i x="2" s="1"/>
        <i x="13" s="1"/>
        <i x="23" s="1"/>
        <i x="19" s="1"/>
        <i x="15" s="1"/>
        <i x="34" s="1"/>
        <i x="0" s="1"/>
        <i x="28" s="1"/>
        <i x="25" s="1"/>
        <i x="18" s="1"/>
        <i x="4" s="1"/>
        <i x="22" s="1"/>
        <i x="37" s="1"/>
        <i x="7" s="1"/>
        <i x="1" s="1"/>
        <i x="20" s="1"/>
        <i x="31"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xr10:uid="{7A911840-6F66-4526-AE1C-704FEBD71EDA}" cache="Slicer_brand_name" caption="brand_name" rowHeight="234950"/>
  <slicer name="price" xr10:uid="{B3A60C47-9A20-490A-AE25-480BBF38D283}" cache="Slicer_price" caption="price"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_name 1" xr10:uid="{0F1A2874-4DB5-4693-BF63-B8F12180287A}" cache="Slicer_brand_name" caption="brand_name" rowHeight="234950"/>
  <slicer name="price 1" xr10:uid="{ECA1F243-1C7C-4E4E-902A-11EC80141A3F}" cache="Slicer_price" caption="price" startItem="5"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C212E8-18FF-4009-9A59-C6EAB49223D9}" name="Table1" displayName="Table1" ref="A1:G50" totalsRowShown="0">
  <autoFilter ref="A1:G50" xr:uid="{57C212E8-18FF-4009-9A59-C6EAB49223D9}"/>
  <tableColumns count="7">
    <tableColumn id="1" xr3:uid="{73A470C9-33E0-4A4F-9D3B-545E6569CE04}" name="brand_name"/>
    <tableColumn id="2" xr3:uid="{AA8BD3A1-227D-4D27-B7B8-E8C9DBAC4D30}" name="pants_description"/>
    <tableColumn id="3" xr3:uid="{744F3A4E-0984-4129-BB35-8FFCE3BF7A5A}" name="price"/>
    <tableColumn id="4" xr3:uid="{B332BD9B-11EF-41CC-81C6-9BB2F82794D3}" name="MRP"/>
    <tableColumn id="5" xr3:uid="{32ECFCBC-B288-49B9-B288-87537D2CCE01}" name="discount_percent"/>
    <tableColumn id="6" xr3:uid="{A478012D-FA8F-49CC-B712-A70A9A78423B}" name="ratings"/>
    <tableColumn id="7" xr3:uid="{76C48240-C158-467F-A104-1C05AFB84AED}" name="number_of_rating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A5B4B-A493-40EF-A1B6-8BA88CB19BF2}">
  <dimension ref="A1:J50"/>
  <sheetViews>
    <sheetView workbookViewId="0">
      <selection activeCell="J16" sqref="J16"/>
    </sheetView>
  </sheetViews>
  <sheetFormatPr defaultRowHeight="14.4" x14ac:dyDescent="0.3"/>
  <cols>
    <col min="1" max="1" width="13.6640625" customWidth="1"/>
    <col min="2" max="2" width="17.88671875" customWidth="1"/>
    <col min="5" max="5" width="17.5546875" customWidth="1"/>
    <col min="7" max="7" width="19" customWidth="1"/>
    <col min="10" max="10" width="20.6640625" customWidth="1"/>
  </cols>
  <sheetData>
    <row r="1" spans="1:10" x14ac:dyDescent="0.3">
      <c r="A1" t="s">
        <v>0</v>
      </c>
      <c r="B1" t="s">
        <v>1</v>
      </c>
      <c r="C1" t="s">
        <v>2</v>
      </c>
      <c r="D1" t="s">
        <v>3</v>
      </c>
      <c r="E1" t="s">
        <v>4</v>
      </c>
      <c r="F1" t="s">
        <v>5</v>
      </c>
      <c r="G1" t="s">
        <v>6</v>
      </c>
    </row>
    <row r="2" spans="1:10" x14ac:dyDescent="0.3">
      <c r="A2" t="s">
        <v>7</v>
      </c>
      <c r="B2" t="s">
        <v>8</v>
      </c>
      <c r="C2">
        <v>1374</v>
      </c>
      <c r="D2">
        <v>2499</v>
      </c>
      <c r="E2">
        <v>0.45</v>
      </c>
      <c r="F2">
        <v>4.2</v>
      </c>
      <c r="G2">
        <v>57</v>
      </c>
    </row>
    <row r="3" spans="1:10" x14ac:dyDescent="0.3">
      <c r="A3" t="s">
        <v>9</v>
      </c>
      <c r="B3" t="s">
        <v>10</v>
      </c>
      <c r="C3">
        <v>1829</v>
      </c>
      <c r="D3">
        <v>2999</v>
      </c>
      <c r="E3">
        <v>0.39</v>
      </c>
      <c r="F3">
        <v>4.5999999999999996</v>
      </c>
      <c r="G3">
        <v>5</v>
      </c>
    </row>
    <row r="4" spans="1:10" x14ac:dyDescent="0.3">
      <c r="A4" t="s">
        <v>11</v>
      </c>
      <c r="B4" t="s">
        <v>12</v>
      </c>
      <c r="C4">
        <v>974</v>
      </c>
      <c r="D4">
        <v>2499</v>
      </c>
      <c r="E4">
        <v>0.61</v>
      </c>
      <c r="F4">
        <v>3.6</v>
      </c>
      <c r="G4">
        <v>1100</v>
      </c>
    </row>
    <row r="5" spans="1:10" x14ac:dyDescent="0.3">
      <c r="A5" t="s">
        <v>13</v>
      </c>
      <c r="B5" t="s">
        <v>14</v>
      </c>
      <c r="C5">
        <v>873</v>
      </c>
      <c r="D5">
        <v>2299</v>
      </c>
      <c r="E5">
        <v>0.62</v>
      </c>
      <c r="F5">
        <v>4</v>
      </c>
      <c r="G5">
        <v>4800</v>
      </c>
    </row>
    <row r="6" spans="1:10" x14ac:dyDescent="0.3">
      <c r="A6" t="s">
        <v>15</v>
      </c>
      <c r="B6" t="s">
        <v>16</v>
      </c>
      <c r="C6">
        <v>1478</v>
      </c>
      <c r="D6">
        <v>2899</v>
      </c>
      <c r="E6">
        <v>0.49</v>
      </c>
      <c r="F6">
        <v>4.3</v>
      </c>
      <c r="G6">
        <v>264</v>
      </c>
      <c r="J6" s="4" t="s">
        <v>58</v>
      </c>
    </row>
    <row r="7" spans="1:10" x14ac:dyDescent="0.3">
      <c r="A7" t="s">
        <v>17</v>
      </c>
      <c r="B7" t="s">
        <v>18</v>
      </c>
      <c r="C7">
        <v>798</v>
      </c>
      <c r="D7">
        <v>1699</v>
      </c>
      <c r="E7">
        <v>0.53</v>
      </c>
      <c r="F7">
        <v>4</v>
      </c>
      <c r="G7">
        <v>33</v>
      </c>
      <c r="J7">
        <f>SUM(Table1[price])</f>
        <v>52904</v>
      </c>
    </row>
    <row r="8" spans="1:10" x14ac:dyDescent="0.3">
      <c r="A8" t="s">
        <v>19</v>
      </c>
      <c r="B8" t="s">
        <v>20</v>
      </c>
      <c r="C8">
        <v>944</v>
      </c>
      <c r="D8">
        <v>2099</v>
      </c>
      <c r="E8">
        <v>0.55000000000000004</v>
      </c>
      <c r="F8">
        <v>4</v>
      </c>
      <c r="G8">
        <v>4200</v>
      </c>
      <c r="J8" s="4" t="s">
        <v>59</v>
      </c>
    </row>
    <row r="9" spans="1:10" x14ac:dyDescent="0.3">
      <c r="A9" t="s">
        <v>7</v>
      </c>
      <c r="B9" t="s">
        <v>21</v>
      </c>
      <c r="C9">
        <v>1623</v>
      </c>
      <c r="D9">
        <v>2799</v>
      </c>
      <c r="E9">
        <v>0.42</v>
      </c>
      <c r="F9">
        <v>4.2</v>
      </c>
      <c r="G9">
        <v>42</v>
      </c>
      <c r="J9">
        <f>SUM(Table1[MRP])</f>
        <v>125101</v>
      </c>
    </row>
    <row r="10" spans="1:10" x14ac:dyDescent="0.3">
      <c r="A10" t="s">
        <v>13</v>
      </c>
      <c r="B10" t="s">
        <v>22</v>
      </c>
      <c r="C10">
        <v>839</v>
      </c>
      <c r="D10">
        <v>2799</v>
      </c>
      <c r="E10">
        <v>0.7</v>
      </c>
      <c r="F10">
        <v>3.6</v>
      </c>
      <c r="G10">
        <v>114</v>
      </c>
      <c r="J10" s="4" t="s">
        <v>60</v>
      </c>
    </row>
    <row r="11" spans="1:10" x14ac:dyDescent="0.3">
      <c r="A11" t="s">
        <v>13</v>
      </c>
      <c r="B11" t="s">
        <v>14</v>
      </c>
      <c r="C11">
        <v>873</v>
      </c>
      <c r="D11">
        <v>2299</v>
      </c>
      <c r="E11">
        <v>0.62</v>
      </c>
      <c r="F11">
        <v>4.0999999999999996</v>
      </c>
      <c r="G11">
        <v>5200</v>
      </c>
      <c r="J11">
        <f>SUM(Table1[discount_percent])</f>
        <v>48.96</v>
      </c>
    </row>
    <row r="12" spans="1:10" x14ac:dyDescent="0.3">
      <c r="A12" t="s">
        <v>11</v>
      </c>
      <c r="B12" t="s">
        <v>23</v>
      </c>
      <c r="C12">
        <v>759</v>
      </c>
      <c r="D12">
        <v>1899</v>
      </c>
      <c r="E12">
        <v>0.6</v>
      </c>
      <c r="F12">
        <v>4</v>
      </c>
      <c r="G12">
        <v>63</v>
      </c>
      <c r="J12" s="4" t="s">
        <v>61</v>
      </c>
    </row>
    <row r="13" spans="1:10" x14ac:dyDescent="0.3">
      <c r="A13" t="s">
        <v>13</v>
      </c>
      <c r="B13" t="s">
        <v>24</v>
      </c>
      <c r="C13">
        <v>873</v>
      </c>
      <c r="D13">
        <v>2299</v>
      </c>
      <c r="E13">
        <v>0.62</v>
      </c>
      <c r="F13">
        <v>4</v>
      </c>
      <c r="G13">
        <v>757</v>
      </c>
      <c r="J13">
        <f>SUM(Table1[ratings])</f>
        <v>190.60000000000002</v>
      </c>
    </row>
    <row r="14" spans="1:10" x14ac:dyDescent="0.3">
      <c r="A14" t="s">
        <v>13</v>
      </c>
      <c r="B14" t="s">
        <v>25</v>
      </c>
      <c r="C14">
        <v>857</v>
      </c>
      <c r="D14">
        <v>2599</v>
      </c>
      <c r="E14">
        <v>0.67</v>
      </c>
      <c r="F14">
        <v>3.6</v>
      </c>
      <c r="G14">
        <v>152</v>
      </c>
      <c r="J14" s="4" t="s">
        <v>62</v>
      </c>
    </row>
    <row r="15" spans="1:10" x14ac:dyDescent="0.3">
      <c r="A15" t="s">
        <v>9</v>
      </c>
      <c r="B15" t="s">
        <v>26</v>
      </c>
      <c r="C15">
        <v>1829</v>
      </c>
      <c r="D15">
        <v>2999</v>
      </c>
      <c r="E15">
        <v>0.39</v>
      </c>
      <c r="F15">
        <v>3.6</v>
      </c>
      <c r="G15">
        <v>152</v>
      </c>
      <c r="J15">
        <f>SUM(Table1[number_of_ratings])</f>
        <v>59773</v>
      </c>
    </row>
    <row r="16" spans="1:10" x14ac:dyDescent="0.3">
      <c r="A16" t="s">
        <v>27</v>
      </c>
      <c r="B16" t="s">
        <v>28</v>
      </c>
      <c r="C16">
        <v>899</v>
      </c>
      <c r="D16">
        <v>3599</v>
      </c>
      <c r="E16">
        <v>0.75</v>
      </c>
      <c r="F16">
        <v>4.0999999999999996</v>
      </c>
      <c r="G16">
        <v>64</v>
      </c>
    </row>
    <row r="17" spans="1:7" x14ac:dyDescent="0.3">
      <c r="A17" t="s">
        <v>11</v>
      </c>
      <c r="B17" t="s">
        <v>29</v>
      </c>
      <c r="C17">
        <v>949</v>
      </c>
      <c r="D17">
        <v>2499</v>
      </c>
      <c r="E17">
        <v>0.62</v>
      </c>
      <c r="F17">
        <v>3.8</v>
      </c>
      <c r="G17">
        <v>80</v>
      </c>
    </row>
    <row r="18" spans="1:7" x14ac:dyDescent="0.3">
      <c r="A18" t="s">
        <v>30</v>
      </c>
      <c r="B18" t="s">
        <v>10</v>
      </c>
      <c r="C18">
        <v>949</v>
      </c>
      <c r="D18">
        <v>2499</v>
      </c>
      <c r="E18">
        <v>0.62</v>
      </c>
      <c r="F18">
        <v>3.8</v>
      </c>
      <c r="G18">
        <v>80</v>
      </c>
    </row>
    <row r="19" spans="1:7" x14ac:dyDescent="0.3">
      <c r="A19" t="s">
        <v>27</v>
      </c>
      <c r="B19" t="s">
        <v>20</v>
      </c>
      <c r="C19">
        <v>989</v>
      </c>
      <c r="D19">
        <v>1799</v>
      </c>
      <c r="E19">
        <v>0.45</v>
      </c>
      <c r="F19">
        <v>3.9</v>
      </c>
      <c r="G19">
        <v>42</v>
      </c>
    </row>
    <row r="20" spans="1:7" x14ac:dyDescent="0.3">
      <c r="A20" t="s">
        <v>13</v>
      </c>
      <c r="B20" t="s">
        <v>24</v>
      </c>
      <c r="C20">
        <v>850</v>
      </c>
      <c r="D20">
        <v>2299</v>
      </c>
      <c r="E20">
        <v>0.63</v>
      </c>
      <c r="F20">
        <v>3.9</v>
      </c>
      <c r="G20">
        <v>1000</v>
      </c>
    </row>
    <row r="21" spans="1:7" x14ac:dyDescent="0.3">
      <c r="A21" t="s">
        <v>7</v>
      </c>
      <c r="B21" t="s">
        <v>31</v>
      </c>
      <c r="C21">
        <v>1275</v>
      </c>
      <c r="D21">
        <v>2199</v>
      </c>
      <c r="E21">
        <v>0.42</v>
      </c>
      <c r="F21">
        <v>4.2</v>
      </c>
      <c r="G21">
        <v>130</v>
      </c>
    </row>
    <row r="22" spans="1:7" x14ac:dyDescent="0.3">
      <c r="A22" t="s">
        <v>32</v>
      </c>
      <c r="B22" t="s">
        <v>33</v>
      </c>
      <c r="C22">
        <v>769</v>
      </c>
      <c r="D22">
        <v>2749</v>
      </c>
      <c r="E22">
        <v>0.72</v>
      </c>
      <c r="F22">
        <v>3.6</v>
      </c>
      <c r="G22">
        <v>432</v>
      </c>
    </row>
    <row r="23" spans="1:7" x14ac:dyDescent="0.3">
      <c r="A23" t="s">
        <v>13</v>
      </c>
      <c r="B23" t="s">
        <v>34</v>
      </c>
      <c r="C23">
        <v>873</v>
      </c>
      <c r="D23">
        <v>2299</v>
      </c>
      <c r="E23">
        <v>0.62</v>
      </c>
      <c r="F23">
        <v>4</v>
      </c>
      <c r="G23">
        <v>591</v>
      </c>
    </row>
    <row r="24" spans="1:7" x14ac:dyDescent="0.3">
      <c r="A24" t="s">
        <v>9</v>
      </c>
      <c r="B24" t="s">
        <v>20</v>
      </c>
      <c r="C24">
        <v>2309</v>
      </c>
      <c r="D24">
        <v>3499</v>
      </c>
      <c r="E24">
        <v>0.34</v>
      </c>
      <c r="F24">
        <v>4</v>
      </c>
      <c r="G24">
        <v>591</v>
      </c>
    </row>
    <row r="25" spans="1:7" x14ac:dyDescent="0.3">
      <c r="A25" t="s">
        <v>7</v>
      </c>
      <c r="B25" t="s">
        <v>35</v>
      </c>
      <c r="C25">
        <v>1449</v>
      </c>
      <c r="D25">
        <v>2499</v>
      </c>
      <c r="E25">
        <v>0.42</v>
      </c>
      <c r="F25">
        <v>3.9</v>
      </c>
      <c r="G25">
        <v>111</v>
      </c>
    </row>
    <row r="26" spans="1:7" x14ac:dyDescent="0.3">
      <c r="A26" t="s">
        <v>19</v>
      </c>
      <c r="B26" t="s">
        <v>20</v>
      </c>
      <c r="C26">
        <v>1034</v>
      </c>
      <c r="D26">
        <v>2299</v>
      </c>
      <c r="E26">
        <v>0.55000000000000004</v>
      </c>
      <c r="F26">
        <v>3.6</v>
      </c>
      <c r="G26">
        <v>618</v>
      </c>
    </row>
    <row r="27" spans="1:7" x14ac:dyDescent="0.3">
      <c r="A27" t="s">
        <v>15</v>
      </c>
      <c r="B27" t="s">
        <v>16</v>
      </c>
      <c r="C27">
        <v>2079</v>
      </c>
      <c r="D27">
        <v>3999</v>
      </c>
      <c r="E27">
        <v>0.48</v>
      </c>
      <c r="F27">
        <v>3.9</v>
      </c>
      <c r="G27">
        <v>31</v>
      </c>
    </row>
    <row r="28" spans="1:7" x14ac:dyDescent="0.3">
      <c r="A28" t="s">
        <v>36</v>
      </c>
      <c r="B28" t="s">
        <v>37</v>
      </c>
      <c r="C28">
        <v>519</v>
      </c>
      <c r="D28">
        <v>1999</v>
      </c>
      <c r="E28">
        <v>0.74</v>
      </c>
      <c r="F28">
        <v>3.7</v>
      </c>
      <c r="G28">
        <v>1500</v>
      </c>
    </row>
    <row r="29" spans="1:7" x14ac:dyDescent="0.3">
      <c r="A29" t="s">
        <v>13</v>
      </c>
      <c r="B29" t="s">
        <v>20</v>
      </c>
      <c r="C29">
        <v>873</v>
      </c>
      <c r="D29">
        <v>2299</v>
      </c>
      <c r="E29">
        <v>0.62</v>
      </c>
      <c r="F29">
        <v>4.0999999999999996</v>
      </c>
      <c r="G29">
        <v>4200</v>
      </c>
    </row>
    <row r="30" spans="1:7" x14ac:dyDescent="0.3">
      <c r="A30" t="s">
        <v>9</v>
      </c>
      <c r="B30" t="s">
        <v>10</v>
      </c>
      <c r="C30">
        <v>1549</v>
      </c>
      <c r="D30">
        <v>2499</v>
      </c>
      <c r="E30">
        <v>0.38</v>
      </c>
      <c r="F30">
        <v>4.0999999999999996</v>
      </c>
      <c r="G30">
        <v>4200</v>
      </c>
    </row>
    <row r="31" spans="1:7" x14ac:dyDescent="0.3">
      <c r="A31" t="s">
        <v>11</v>
      </c>
      <c r="B31" t="s">
        <v>25</v>
      </c>
      <c r="C31">
        <v>999</v>
      </c>
      <c r="D31">
        <v>2499</v>
      </c>
      <c r="E31">
        <v>0.6</v>
      </c>
      <c r="F31">
        <v>3.4</v>
      </c>
      <c r="G31">
        <v>53</v>
      </c>
    </row>
    <row r="32" spans="1:7" x14ac:dyDescent="0.3">
      <c r="A32" t="s">
        <v>36</v>
      </c>
      <c r="B32" t="s">
        <v>38</v>
      </c>
      <c r="C32">
        <v>719</v>
      </c>
      <c r="D32">
        <v>1999</v>
      </c>
      <c r="E32">
        <v>0.64</v>
      </c>
      <c r="F32">
        <v>3.8</v>
      </c>
      <c r="G32">
        <v>61</v>
      </c>
    </row>
    <row r="33" spans="1:7" x14ac:dyDescent="0.3">
      <c r="A33" t="s">
        <v>7</v>
      </c>
      <c r="B33" t="s">
        <v>21</v>
      </c>
      <c r="C33">
        <v>1399</v>
      </c>
      <c r="D33">
        <v>2799</v>
      </c>
      <c r="E33">
        <v>0.5</v>
      </c>
      <c r="F33">
        <v>4.0999999999999996</v>
      </c>
      <c r="G33">
        <v>25</v>
      </c>
    </row>
    <row r="34" spans="1:7" x14ac:dyDescent="0.3">
      <c r="A34" t="s">
        <v>39</v>
      </c>
      <c r="B34" t="s">
        <v>24</v>
      </c>
      <c r="C34">
        <v>869</v>
      </c>
      <c r="D34">
        <v>2999</v>
      </c>
      <c r="E34">
        <v>21.3</v>
      </c>
      <c r="F34">
        <v>4.0999999999999996</v>
      </c>
      <c r="G34">
        <v>211</v>
      </c>
    </row>
    <row r="35" spans="1:7" x14ac:dyDescent="0.3">
      <c r="A35" t="s">
        <v>36</v>
      </c>
      <c r="B35" t="s">
        <v>40</v>
      </c>
      <c r="C35">
        <v>639</v>
      </c>
      <c r="D35">
        <v>1999</v>
      </c>
      <c r="E35">
        <v>0.68</v>
      </c>
      <c r="F35">
        <v>4.2</v>
      </c>
      <c r="G35">
        <v>2000</v>
      </c>
    </row>
    <row r="36" spans="1:7" x14ac:dyDescent="0.3">
      <c r="A36" t="s">
        <v>41</v>
      </c>
      <c r="B36" t="s">
        <v>42</v>
      </c>
      <c r="C36">
        <v>1393</v>
      </c>
      <c r="D36">
        <v>3399</v>
      </c>
      <c r="E36">
        <v>0.59</v>
      </c>
      <c r="F36">
        <v>3.8</v>
      </c>
      <c r="G36">
        <v>16</v>
      </c>
    </row>
    <row r="37" spans="1:7" x14ac:dyDescent="0.3">
      <c r="A37" t="s">
        <v>39</v>
      </c>
      <c r="B37" t="s">
        <v>18</v>
      </c>
      <c r="C37">
        <v>758</v>
      </c>
      <c r="D37">
        <v>2299</v>
      </c>
      <c r="E37">
        <v>0.67</v>
      </c>
      <c r="F37">
        <v>3.4</v>
      </c>
      <c r="G37">
        <v>441</v>
      </c>
    </row>
    <row r="38" spans="1:7" x14ac:dyDescent="0.3">
      <c r="A38" t="s">
        <v>19</v>
      </c>
      <c r="B38" t="s">
        <v>10</v>
      </c>
      <c r="C38">
        <v>629</v>
      </c>
      <c r="D38">
        <v>1399</v>
      </c>
      <c r="E38">
        <v>0.55000000000000004</v>
      </c>
      <c r="F38">
        <v>4</v>
      </c>
      <c r="G38">
        <v>22300</v>
      </c>
    </row>
    <row r="39" spans="1:7" x14ac:dyDescent="0.3">
      <c r="A39" t="s">
        <v>43</v>
      </c>
      <c r="B39" t="s">
        <v>20</v>
      </c>
      <c r="C39">
        <v>2099</v>
      </c>
      <c r="D39">
        <v>3499</v>
      </c>
      <c r="E39">
        <v>0.4</v>
      </c>
      <c r="F39">
        <v>3.7</v>
      </c>
      <c r="G39">
        <v>124</v>
      </c>
    </row>
    <row r="40" spans="1:7" x14ac:dyDescent="0.3">
      <c r="A40" t="s">
        <v>44</v>
      </c>
      <c r="B40" t="s">
        <v>45</v>
      </c>
      <c r="C40">
        <v>659</v>
      </c>
      <c r="D40">
        <v>1999</v>
      </c>
      <c r="E40">
        <v>0.67</v>
      </c>
      <c r="F40">
        <v>4</v>
      </c>
      <c r="G40">
        <v>1600</v>
      </c>
    </row>
    <row r="41" spans="1:7" x14ac:dyDescent="0.3">
      <c r="A41" t="s">
        <v>11</v>
      </c>
      <c r="B41" t="s">
        <v>46</v>
      </c>
      <c r="C41">
        <v>774</v>
      </c>
      <c r="D41">
        <v>2499</v>
      </c>
      <c r="E41">
        <v>0.69</v>
      </c>
      <c r="F41">
        <v>3.5</v>
      </c>
      <c r="G41">
        <v>868</v>
      </c>
    </row>
    <row r="42" spans="1:7" x14ac:dyDescent="0.3">
      <c r="A42" t="s">
        <v>47</v>
      </c>
      <c r="B42" t="s">
        <v>10</v>
      </c>
      <c r="C42">
        <v>1294</v>
      </c>
      <c r="D42">
        <v>3499</v>
      </c>
      <c r="E42">
        <v>0.63</v>
      </c>
      <c r="F42">
        <v>4.4000000000000004</v>
      </c>
      <c r="G42">
        <v>17</v>
      </c>
    </row>
    <row r="43" spans="1:7" x14ac:dyDescent="0.3">
      <c r="A43" t="s">
        <v>39</v>
      </c>
      <c r="B43" t="s">
        <v>38</v>
      </c>
      <c r="C43">
        <v>764</v>
      </c>
      <c r="D43">
        <v>1699</v>
      </c>
      <c r="E43">
        <v>0.55000000000000004</v>
      </c>
      <c r="F43">
        <v>3.5</v>
      </c>
      <c r="G43">
        <v>38</v>
      </c>
    </row>
    <row r="44" spans="1:7" x14ac:dyDescent="0.3">
      <c r="A44" t="s">
        <v>11</v>
      </c>
      <c r="B44" t="s">
        <v>10</v>
      </c>
      <c r="C44">
        <v>681</v>
      </c>
      <c r="D44">
        <v>2199</v>
      </c>
      <c r="E44">
        <v>0.69</v>
      </c>
      <c r="F44">
        <v>3.8</v>
      </c>
      <c r="G44">
        <v>185</v>
      </c>
    </row>
    <row r="45" spans="1:7" x14ac:dyDescent="0.3">
      <c r="A45" t="s">
        <v>41</v>
      </c>
      <c r="B45" t="s">
        <v>10</v>
      </c>
      <c r="C45">
        <v>1553</v>
      </c>
      <c r="D45">
        <v>4199</v>
      </c>
      <c r="E45">
        <v>0.63</v>
      </c>
      <c r="F45">
        <v>3.8</v>
      </c>
      <c r="G45">
        <v>22</v>
      </c>
    </row>
    <row r="46" spans="1:7" x14ac:dyDescent="0.3">
      <c r="A46" t="s">
        <v>39</v>
      </c>
      <c r="B46" t="s">
        <v>48</v>
      </c>
      <c r="C46">
        <v>701</v>
      </c>
      <c r="D46">
        <v>2599</v>
      </c>
      <c r="E46">
        <v>0.73</v>
      </c>
      <c r="F46">
        <v>3.8</v>
      </c>
      <c r="G46">
        <v>314</v>
      </c>
    </row>
    <row r="47" spans="1:7" x14ac:dyDescent="0.3">
      <c r="A47" t="s">
        <v>44</v>
      </c>
      <c r="B47" t="s">
        <v>49</v>
      </c>
      <c r="C47">
        <v>688</v>
      </c>
      <c r="D47">
        <v>2549</v>
      </c>
      <c r="E47">
        <v>0.73</v>
      </c>
      <c r="F47">
        <v>3.7</v>
      </c>
      <c r="G47">
        <v>35</v>
      </c>
    </row>
    <row r="48" spans="1:7" x14ac:dyDescent="0.3">
      <c r="A48" t="s">
        <v>41</v>
      </c>
      <c r="B48" t="s">
        <v>50</v>
      </c>
      <c r="C48">
        <v>1393</v>
      </c>
      <c r="D48">
        <v>3399</v>
      </c>
      <c r="E48">
        <v>0.59</v>
      </c>
      <c r="F48">
        <v>3.7</v>
      </c>
      <c r="G48">
        <v>35</v>
      </c>
    </row>
    <row r="49" spans="1:7" x14ac:dyDescent="0.3">
      <c r="A49" t="s">
        <v>44</v>
      </c>
      <c r="B49" t="s">
        <v>20</v>
      </c>
      <c r="C49">
        <v>808</v>
      </c>
      <c r="D49">
        <v>2449</v>
      </c>
      <c r="E49">
        <v>0.67</v>
      </c>
      <c r="F49">
        <v>3.5</v>
      </c>
      <c r="G49">
        <v>589</v>
      </c>
    </row>
    <row r="50" spans="1:7" x14ac:dyDescent="0.3">
      <c r="A50" t="s">
        <v>51</v>
      </c>
      <c r="B50" t="s">
        <v>38</v>
      </c>
      <c r="C50">
        <v>797</v>
      </c>
      <c r="D50">
        <v>1399</v>
      </c>
      <c r="E50">
        <v>0.43</v>
      </c>
      <c r="F50">
        <v>4</v>
      </c>
      <c r="G50">
        <v>230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E4C2-A98B-457F-807C-17181B82D8F5}">
  <dimension ref="A1:N30"/>
  <sheetViews>
    <sheetView workbookViewId="0">
      <selection sqref="A1:B19"/>
    </sheetView>
  </sheetViews>
  <sheetFormatPr defaultRowHeight="14.4" x14ac:dyDescent="0.3"/>
  <cols>
    <col min="1" max="1" width="18.5546875" bestFit="1" customWidth="1"/>
    <col min="2" max="2" width="11.5546875" bestFit="1" customWidth="1"/>
    <col min="4" max="4" width="18.5546875" bestFit="1" customWidth="1"/>
    <col min="5" max="5" width="22.44140625" bestFit="1" customWidth="1"/>
    <col min="7" max="7" width="27.6640625" bestFit="1" customWidth="1"/>
    <col min="8" max="8" width="13.21875" bestFit="1" customWidth="1"/>
    <col min="10" max="10" width="18.5546875" bestFit="1" customWidth="1"/>
    <col min="11" max="11" width="11.44140625" bestFit="1" customWidth="1"/>
    <col min="13" max="13" width="27.6640625" bestFit="1" customWidth="1"/>
    <col min="14" max="14" width="22.44140625" bestFit="1" customWidth="1"/>
  </cols>
  <sheetData>
    <row r="1" spans="1:14" x14ac:dyDescent="0.3">
      <c r="A1" s="2" t="s">
        <v>53</v>
      </c>
      <c r="B1" t="s">
        <v>52</v>
      </c>
      <c r="D1" s="2" t="s">
        <v>53</v>
      </c>
      <c r="E1" t="s">
        <v>55</v>
      </c>
      <c r="G1" s="2" t="s">
        <v>53</v>
      </c>
      <c r="H1" t="s">
        <v>56</v>
      </c>
      <c r="J1" s="2" t="s">
        <v>53</v>
      </c>
      <c r="K1" t="s">
        <v>57</v>
      </c>
      <c r="M1" s="2" t="s">
        <v>53</v>
      </c>
      <c r="N1" t="s">
        <v>55</v>
      </c>
    </row>
    <row r="2" spans="1:14" x14ac:dyDescent="0.3">
      <c r="A2" s="3" t="s">
        <v>13</v>
      </c>
      <c r="B2" s="1">
        <v>6911</v>
      </c>
      <c r="D2" s="3" t="s">
        <v>13</v>
      </c>
      <c r="E2" s="1">
        <v>5.0999999999999996</v>
      </c>
      <c r="G2" s="3" t="s">
        <v>29</v>
      </c>
      <c r="H2" s="1">
        <v>3.8</v>
      </c>
      <c r="J2" s="3" t="s">
        <v>13</v>
      </c>
      <c r="K2" s="1">
        <v>19192</v>
      </c>
      <c r="M2" s="3" t="s">
        <v>29</v>
      </c>
      <c r="N2" s="1">
        <v>0.62</v>
      </c>
    </row>
    <row r="3" spans="1:14" x14ac:dyDescent="0.3">
      <c r="A3" s="3" t="s">
        <v>30</v>
      </c>
      <c r="B3" s="1">
        <v>949</v>
      </c>
      <c r="D3" s="3" t="s">
        <v>30</v>
      </c>
      <c r="E3" s="1">
        <v>0.62</v>
      </c>
      <c r="G3" s="3" t="s">
        <v>16</v>
      </c>
      <c r="H3" s="1">
        <v>8.1999999999999993</v>
      </c>
      <c r="J3" s="3" t="s">
        <v>30</v>
      </c>
      <c r="K3" s="1">
        <v>2499</v>
      </c>
      <c r="M3" s="3" t="s">
        <v>16</v>
      </c>
      <c r="N3" s="1">
        <v>0.97</v>
      </c>
    </row>
    <row r="4" spans="1:14" x14ac:dyDescent="0.3">
      <c r="A4" s="3" t="s">
        <v>9</v>
      </c>
      <c r="B4" s="1">
        <v>7516</v>
      </c>
      <c r="D4" s="3" t="s">
        <v>9</v>
      </c>
      <c r="E4" s="1">
        <v>1.5</v>
      </c>
      <c r="G4" s="3" t="s">
        <v>21</v>
      </c>
      <c r="H4" s="1">
        <v>8.3000000000000007</v>
      </c>
      <c r="J4" s="3" t="s">
        <v>9</v>
      </c>
      <c r="K4" s="1">
        <v>11996</v>
      </c>
      <c r="M4" s="3" t="s">
        <v>21</v>
      </c>
      <c r="N4" s="1">
        <v>0.91999999999999993</v>
      </c>
    </row>
    <row r="5" spans="1:14" x14ac:dyDescent="0.3">
      <c r="A5" s="3" t="s">
        <v>47</v>
      </c>
      <c r="B5" s="1">
        <v>1294</v>
      </c>
      <c r="D5" s="3" t="s">
        <v>47</v>
      </c>
      <c r="E5" s="1">
        <v>0.63</v>
      </c>
      <c r="G5" s="3" t="s">
        <v>46</v>
      </c>
      <c r="H5" s="1">
        <v>3.5</v>
      </c>
      <c r="J5" s="3" t="s">
        <v>47</v>
      </c>
      <c r="K5" s="1">
        <v>3499</v>
      </c>
      <c r="M5" s="3" t="s">
        <v>46</v>
      </c>
      <c r="N5" s="1">
        <v>0.69</v>
      </c>
    </row>
    <row r="6" spans="1:14" x14ac:dyDescent="0.3">
      <c r="A6" s="3" t="s">
        <v>43</v>
      </c>
      <c r="B6" s="1">
        <v>2099</v>
      </c>
      <c r="D6" s="3" t="s">
        <v>43</v>
      </c>
      <c r="E6" s="1">
        <v>0.4</v>
      </c>
      <c r="G6" s="3" t="s">
        <v>24</v>
      </c>
      <c r="H6" s="1">
        <v>12</v>
      </c>
      <c r="J6" s="3" t="s">
        <v>43</v>
      </c>
      <c r="K6" s="1">
        <v>3499</v>
      </c>
      <c r="M6" s="3" t="s">
        <v>24</v>
      </c>
      <c r="N6" s="1">
        <v>22.55</v>
      </c>
    </row>
    <row r="7" spans="1:14" x14ac:dyDescent="0.3">
      <c r="A7" s="3" t="s">
        <v>51</v>
      </c>
      <c r="B7" s="1">
        <v>797</v>
      </c>
      <c r="D7" s="3" t="s">
        <v>51</v>
      </c>
      <c r="E7" s="1">
        <v>0.43</v>
      </c>
      <c r="G7" s="3" t="s">
        <v>28</v>
      </c>
      <c r="H7" s="1">
        <v>4.0999999999999996</v>
      </c>
      <c r="J7" s="3" t="s">
        <v>51</v>
      </c>
      <c r="K7" s="1">
        <v>1399</v>
      </c>
      <c r="M7" s="3" t="s">
        <v>28</v>
      </c>
      <c r="N7" s="1">
        <v>0.75</v>
      </c>
    </row>
    <row r="8" spans="1:14" x14ac:dyDescent="0.3">
      <c r="A8" s="3" t="s">
        <v>17</v>
      </c>
      <c r="B8" s="1">
        <v>798</v>
      </c>
      <c r="D8" s="3" t="s">
        <v>17</v>
      </c>
      <c r="E8" s="1">
        <v>0.53</v>
      </c>
      <c r="G8" s="3" t="s">
        <v>8</v>
      </c>
      <c r="H8" s="1">
        <v>4.2</v>
      </c>
      <c r="J8" s="3" t="s">
        <v>17</v>
      </c>
      <c r="K8" s="1">
        <v>1699</v>
      </c>
      <c r="M8" s="3" t="s">
        <v>8</v>
      </c>
      <c r="N8" s="1">
        <v>0.45</v>
      </c>
    </row>
    <row r="9" spans="1:14" x14ac:dyDescent="0.3">
      <c r="A9" s="3" t="s">
        <v>32</v>
      </c>
      <c r="B9" s="1">
        <v>769</v>
      </c>
      <c r="D9" s="3" t="s">
        <v>32</v>
      </c>
      <c r="E9" s="1">
        <v>0.72</v>
      </c>
      <c r="G9" s="3" t="s">
        <v>40</v>
      </c>
      <c r="H9" s="1">
        <v>4.2</v>
      </c>
      <c r="J9" s="3" t="s">
        <v>32</v>
      </c>
      <c r="K9" s="1">
        <v>2749</v>
      </c>
      <c r="M9" s="3" t="s">
        <v>40</v>
      </c>
      <c r="N9" s="1">
        <v>0.68</v>
      </c>
    </row>
    <row r="10" spans="1:14" x14ac:dyDescent="0.3">
      <c r="A10" s="3" t="s">
        <v>36</v>
      </c>
      <c r="B10" s="1">
        <v>1877</v>
      </c>
      <c r="D10" s="3" t="s">
        <v>36</v>
      </c>
      <c r="E10" s="1">
        <v>2.06</v>
      </c>
      <c r="G10" s="3" t="s">
        <v>37</v>
      </c>
      <c r="H10" s="1">
        <v>3.7</v>
      </c>
      <c r="J10" s="3" t="s">
        <v>36</v>
      </c>
      <c r="K10" s="1">
        <v>5997</v>
      </c>
      <c r="M10" s="3" t="s">
        <v>37</v>
      </c>
      <c r="N10" s="1">
        <v>0.74</v>
      </c>
    </row>
    <row r="11" spans="1:14" x14ac:dyDescent="0.3">
      <c r="A11" s="3" t="s">
        <v>15</v>
      </c>
      <c r="B11" s="1">
        <v>3557</v>
      </c>
      <c r="D11" s="3" t="s">
        <v>15</v>
      </c>
      <c r="E11" s="1">
        <v>0.97</v>
      </c>
      <c r="G11" s="3" t="s">
        <v>34</v>
      </c>
      <c r="H11" s="1">
        <v>4</v>
      </c>
      <c r="J11" s="3" t="s">
        <v>15</v>
      </c>
      <c r="K11" s="1">
        <v>6898</v>
      </c>
      <c r="M11" s="3" t="s">
        <v>34</v>
      </c>
      <c r="N11" s="1">
        <v>0.62</v>
      </c>
    </row>
    <row r="12" spans="1:14" x14ac:dyDescent="0.3">
      <c r="A12" s="3" t="s">
        <v>39</v>
      </c>
      <c r="B12" s="1">
        <v>3092</v>
      </c>
      <c r="D12" s="3" t="s">
        <v>39</v>
      </c>
      <c r="E12" s="1">
        <v>23.250000000000004</v>
      </c>
      <c r="G12" s="3" t="s">
        <v>42</v>
      </c>
      <c r="H12" s="1">
        <v>3.8</v>
      </c>
      <c r="J12" s="3" t="s">
        <v>39</v>
      </c>
      <c r="K12" s="1">
        <v>9596</v>
      </c>
      <c r="M12" s="3" t="s">
        <v>42</v>
      </c>
      <c r="N12" s="1">
        <v>0.59</v>
      </c>
    </row>
    <row r="13" spans="1:14" x14ac:dyDescent="0.3">
      <c r="A13" s="3" t="s">
        <v>41</v>
      </c>
      <c r="B13" s="1">
        <v>4339</v>
      </c>
      <c r="D13" s="3" t="s">
        <v>41</v>
      </c>
      <c r="E13" s="1">
        <v>1.81</v>
      </c>
      <c r="G13" s="3" t="s">
        <v>12</v>
      </c>
      <c r="H13" s="1">
        <v>3.6</v>
      </c>
      <c r="J13" s="3" t="s">
        <v>41</v>
      </c>
      <c r="K13" s="1">
        <v>10997</v>
      </c>
      <c r="M13" s="3" t="s">
        <v>12</v>
      </c>
      <c r="N13" s="1">
        <v>0.61</v>
      </c>
    </row>
    <row r="14" spans="1:14" x14ac:dyDescent="0.3">
      <c r="A14" s="3" t="s">
        <v>11</v>
      </c>
      <c r="B14" s="1">
        <v>5136</v>
      </c>
      <c r="D14" s="3" t="s">
        <v>11</v>
      </c>
      <c r="E14" s="1">
        <v>3.81</v>
      </c>
      <c r="G14" s="3" t="s">
        <v>35</v>
      </c>
      <c r="H14" s="1">
        <v>3.9</v>
      </c>
      <c r="J14" s="3" t="s">
        <v>11</v>
      </c>
      <c r="K14" s="1">
        <v>14094</v>
      </c>
      <c r="M14" s="3" t="s">
        <v>35</v>
      </c>
      <c r="N14" s="1">
        <v>0.42</v>
      </c>
    </row>
    <row r="15" spans="1:14" x14ac:dyDescent="0.3">
      <c r="A15" s="3" t="s">
        <v>27</v>
      </c>
      <c r="B15" s="1">
        <v>1888</v>
      </c>
      <c r="D15" s="3" t="s">
        <v>27</v>
      </c>
      <c r="E15" s="1">
        <v>1.2</v>
      </c>
      <c r="G15" s="3" t="s">
        <v>49</v>
      </c>
      <c r="H15" s="1">
        <v>3.7</v>
      </c>
      <c r="J15" s="3" t="s">
        <v>27</v>
      </c>
      <c r="K15" s="1">
        <v>5398</v>
      </c>
      <c r="M15" s="3" t="s">
        <v>49</v>
      </c>
      <c r="N15" s="1">
        <v>0.73</v>
      </c>
    </row>
    <row r="16" spans="1:14" x14ac:dyDescent="0.3">
      <c r="A16" s="3" t="s">
        <v>44</v>
      </c>
      <c r="B16" s="1">
        <v>2155</v>
      </c>
      <c r="D16" s="3" t="s">
        <v>44</v>
      </c>
      <c r="E16" s="1">
        <v>2.0699999999999998</v>
      </c>
      <c r="G16" s="3" t="s">
        <v>23</v>
      </c>
      <c r="H16" s="1">
        <v>4</v>
      </c>
      <c r="J16" s="3" t="s">
        <v>44</v>
      </c>
      <c r="K16" s="1">
        <v>6997</v>
      </c>
      <c r="M16" s="3" t="s">
        <v>23</v>
      </c>
      <c r="N16" s="1">
        <v>0.6</v>
      </c>
    </row>
    <row r="17" spans="1:14" x14ac:dyDescent="0.3">
      <c r="A17" s="3" t="s">
        <v>19</v>
      </c>
      <c r="B17" s="1">
        <v>2607</v>
      </c>
      <c r="D17" s="3" t="s">
        <v>19</v>
      </c>
      <c r="E17" s="1">
        <v>1.6500000000000001</v>
      </c>
      <c r="G17" s="3" t="s">
        <v>20</v>
      </c>
      <c r="H17" s="1">
        <v>26.8</v>
      </c>
      <c r="J17" s="3" t="s">
        <v>19</v>
      </c>
      <c r="K17" s="1">
        <v>5797</v>
      </c>
      <c r="M17" s="3" t="s">
        <v>20</v>
      </c>
      <c r="N17" s="1">
        <v>3.58</v>
      </c>
    </row>
    <row r="18" spans="1:14" x14ac:dyDescent="0.3">
      <c r="A18" s="3" t="s">
        <v>7</v>
      </c>
      <c r="B18" s="1">
        <v>7120</v>
      </c>
      <c r="D18" s="3" t="s">
        <v>7</v>
      </c>
      <c r="E18" s="1">
        <v>2.21</v>
      </c>
      <c r="G18" s="3" t="s">
        <v>33</v>
      </c>
      <c r="H18" s="1">
        <v>3.6</v>
      </c>
      <c r="J18" s="3" t="s">
        <v>7</v>
      </c>
      <c r="K18" s="1">
        <v>12795</v>
      </c>
      <c r="M18" s="3" t="s">
        <v>33</v>
      </c>
      <c r="N18" s="1">
        <v>0.72</v>
      </c>
    </row>
    <row r="19" spans="1:14" x14ac:dyDescent="0.3">
      <c r="A19" s="3" t="s">
        <v>54</v>
      </c>
      <c r="B19" s="1">
        <v>52904</v>
      </c>
      <c r="D19" s="3" t="s">
        <v>54</v>
      </c>
      <c r="E19" s="1">
        <v>48.960000000000015</v>
      </c>
      <c r="G19" s="3" t="s">
        <v>10</v>
      </c>
      <c r="H19" s="1">
        <v>28.5</v>
      </c>
      <c r="J19" s="3" t="s">
        <v>54</v>
      </c>
      <c r="K19" s="1">
        <v>125101</v>
      </c>
      <c r="M19" s="3" t="s">
        <v>10</v>
      </c>
      <c r="N19" s="1">
        <v>3.89</v>
      </c>
    </row>
    <row r="20" spans="1:14" x14ac:dyDescent="0.3">
      <c r="G20" s="3" t="s">
        <v>45</v>
      </c>
      <c r="H20" s="1">
        <v>4</v>
      </c>
      <c r="M20" s="3" t="s">
        <v>45</v>
      </c>
      <c r="N20" s="1">
        <v>0.67</v>
      </c>
    </row>
    <row r="21" spans="1:14" x14ac:dyDescent="0.3">
      <c r="G21" s="3" t="s">
        <v>31</v>
      </c>
      <c r="H21" s="1">
        <v>4.2</v>
      </c>
      <c r="M21" s="3" t="s">
        <v>31</v>
      </c>
      <c r="N21" s="1">
        <v>0.42</v>
      </c>
    </row>
    <row r="22" spans="1:14" x14ac:dyDescent="0.3">
      <c r="G22" s="3" t="s">
        <v>48</v>
      </c>
      <c r="H22" s="1">
        <v>3.8</v>
      </c>
      <c r="M22" s="3" t="s">
        <v>48</v>
      </c>
      <c r="N22" s="1">
        <v>0.73</v>
      </c>
    </row>
    <row r="23" spans="1:14" x14ac:dyDescent="0.3">
      <c r="G23" s="3" t="s">
        <v>38</v>
      </c>
      <c r="H23" s="1">
        <v>11.3</v>
      </c>
      <c r="M23" s="3" t="s">
        <v>38</v>
      </c>
      <c r="N23" s="1">
        <v>1.6199999999999999</v>
      </c>
    </row>
    <row r="24" spans="1:14" x14ac:dyDescent="0.3">
      <c r="G24" s="3" t="s">
        <v>18</v>
      </c>
      <c r="H24" s="1">
        <v>7.4</v>
      </c>
      <c r="M24" s="3" t="s">
        <v>18</v>
      </c>
      <c r="N24" s="1">
        <v>1.2000000000000002</v>
      </c>
    </row>
    <row r="25" spans="1:14" x14ac:dyDescent="0.3">
      <c r="G25" s="3" t="s">
        <v>50</v>
      </c>
      <c r="H25" s="1">
        <v>3.7</v>
      </c>
      <c r="M25" s="3" t="s">
        <v>50</v>
      </c>
      <c r="N25" s="1">
        <v>0.59</v>
      </c>
    </row>
    <row r="26" spans="1:14" x14ac:dyDescent="0.3">
      <c r="G26" s="3" t="s">
        <v>22</v>
      </c>
      <c r="H26" s="1">
        <v>3.6</v>
      </c>
      <c r="M26" s="3" t="s">
        <v>22</v>
      </c>
      <c r="N26" s="1">
        <v>0.7</v>
      </c>
    </row>
    <row r="27" spans="1:14" x14ac:dyDescent="0.3">
      <c r="G27" s="3" t="s">
        <v>25</v>
      </c>
      <c r="H27" s="1">
        <v>7</v>
      </c>
      <c r="M27" s="3" t="s">
        <v>25</v>
      </c>
      <c r="N27" s="1">
        <v>1.27</v>
      </c>
    </row>
    <row r="28" spans="1:14" x14ac:dyDescent="0.3">
      <c r="G28" s="3" t="s">
        <v>14</v>
      </c>
      <c r="H28" s="1">
        <v>8.1</v>
      </c>
      <c r="M28" s="3" t="s">
        <v>14</v>
      </c>
      <c r="N28" s="1">
        <v>1.24</v>
      </c>
    </row>
    <row r="29" spans="1:14" x14ac:dyDescent="0.3">
      <c r="G29" s="3" t="s">
        <v>26</v>
      </c>
      <c r="H29" s="1">
        <v>3.6</v>
      </c>
      <c r="M29" s="3" t="s">
        <v>26</v>
      </c>
      <c r="N29" s="1">
        <v>0.39</v>
      </c>
    </row>
    <row r="30" spans="1:14" x14ac:dyDescent="0.3">
      <c r="G30" s="3" t="s">
        <v>54</v>
      </c>
      <c r="H30" s="1">
        <v>190.6</v>
      </c>
      <c r="M30" s="3" t="s">
        <v>54</v>
      </c>
      <c r="N30" s="1">
        <v>48.960000000000015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0E768-1CEB-4A15-BE7F-957EAE03598B}">
  <dimension ref="A1"/>
  <sheetViews>
    <sheetView tabSelected="1" workbookViewId="0">
      <selection activeCell="S35" sqref="S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myntra_dataset_ByScraping (1)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2026-05-04T11:19:24Z</dcterms:created>
  <dcterms:modified xsi:type="dcterms:W3CDTF">2026-05-04T11:19:24Z</dcterms:modified>
</cp:coreProperties>
</file>